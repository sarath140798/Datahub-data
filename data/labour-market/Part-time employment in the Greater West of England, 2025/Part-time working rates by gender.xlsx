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Labour Market - Part-time working\"/>
    </mc:Choice>
  </mc:AlternateContent>
  <xr:revisionPtr revIDLastSave="0" documentId="13_ncr:1_{C28AC805-AEAD-4E50-9AE0-0CC467418691}" xr6:coauthVersionLast="47" xr6:coauthVersionMax="47" xr10:uidLastSave="{00000000-0000-0000-0000-000000000000}"/>
  <bookViews>
    <workbookView xWindow="-110" yWindow="-110" windowWidth="19420" windowHeight="11500" activeTab="2" xr2:uid="{CA530715-13B2-415B-84FF-878C8E3BA35B}"/>
  </bookViews>
  <sheets>
    <sheet name="Metadata" sheetId="2" r:id="rId1"/>
    <sheet name="Data" sheetId="1" r:id="rId2"/>
    <sheet name="Analysi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5" i="3" l="1"/>
</calcChain>
</file>

<file path=xl/sharedStrings.xml><?xml version="1.0" encoding="utf-8"?>
<sst xmlns="http://schemas.openxmlformats.org/spreadsheetml/2006/main" count="80" uniqueCount="63">
  <si>
    <t>Part-time employment as a percentage of all in workers. The split between full-time employment is based on self-classification. Data based on responses over a 12 month period (October - September), labelled by the end of the year. Next calendar year update in April 2026.
APS Estimates have not been reweighted to new populations and consequently, will be inconsistent with the population totals used for the Labour Force Survey in the latest periods.
! Estimate and confidence interval not available since the group sample size is zero or disclosive (0-2).</t>
  </si>
  <si>
    <t>Data information:</t>
  </si>
  <si>
    <t>Aggregated by NOMIS</t>
  </si>
  <si>
    <t xml:space="preserve">Aggregation method  </t>
  </si>
  <si>
    <t>Greater West of England area; Bath and North East Somerset, Bristol, Gloucestershire, North Somerset, South Gloucestershire, Swindon, Wiltshire. Gloucestershire district area; Cheltenham, Cotswold, Forest of Dean, Gloucester, Stroud, Tewkesbury. England.</t>
  </si>
  <si>
    <t>Geography used for analysis</t>
  </si>
  <si>
    <t>Last updated</t>
  </si>
  <si>
    <t>Created date</t>
  </si>
  <si>
    <t>Nomis - Query Tool - annual population survey</t>
  </si>
  <si>
    <t>Link</t>
  </si>
  <si>
    <t>Next update</t>
  </si>
  <si>
    <t>Publication date</t>
  </si>
  <si>
    <t>Tables</t>
  </si>
  <si>
    <t>Annual Population Survey</t>
  </si>
  <si>
    <t>Dataset</t>
  </si>
  <si>
    <t>Nomis</t>
  </si>
  <si>
    <t>Publisher</t>
  </si>
  <si>
    <t>annual population survey</t>
  </si>
  <si>
    <t>ONS Crown Copyright Reserved [from Nomis on 9 April 2026]</t>
  </si>
  <si>
    <t>confidence</t>
  </si>
  <si>
    <t>95% confidence interval of percent figure (+/-)</t>
  </si>
  <si>
    <t>date</t>
  </si>
  <si>
    <t>Oct 2024-Sep 2025</t>
  </si>
  <si>
    <t>Area</t>
  </si>
  <si>
    <t>% in employment working part-time - aged 16-64</t>
  </si>
  <si>
    <t>% of males in employment working part-time - aged 16-64</t>
  </si>
  <si>
    <t>% of females in employment working part-time - aged 16-64</t>
  </si>
  <si>
    <t>numerator</t>
  </si>
  <si>
    <t>denominator</t>
  </si>
  <si>
    <t>percent</t>
  </si>
  <si>
    <t>conf</t>
  </si>
  <si>
    <t>ladu2023:Bath and North East Somerset</t>
  </si>
  <si>
    <t>ladu2023:Bristol, City of</t>
  </si>
  <si>
    <t>ladu2023:Cheltenham</t>
  </si>
  <si>
    <t>*</t>
  </si>
  <si>
    <t>ladu2023:Cotswold</t>
  </si>
  <si>
    <t>ladu2023:Forest of Dean</t>
  </si>
  <si>
    <t>ladu2023:Gloucester</t>
  </si>
  <si>
    <t>ladu2023:North Somerset</t>
  </si>
  <si>
    <t>ladu2023:South Gloucestershire</t>
  </si>
  <si>
    <t>ladu2023:Stroud</t>
  </si>
  <si>
    <t>ladu2023:Swindon</t>
  </si>
  <si>
    <t>ladu2023:Tewkesbury</t>
  </si>
  <si>
    <t>ladu2023:Wiltshire</t>
  </si>
  <si>
    <t>country:England</t>
  </si>
  <si>
    <t>* Estimate and confidence interval unreliable since the group sample size is small (3-9).</t>
  </si>
  <si>
    <t>APS Estimates have not been reweighted to new populations and consequently, will be inconsistent with the population totals used for the Labour Force Survey in the latest periods.</t>
  </si>
  <si>
    <t>England</t>
  </si>
  <si>
    <t>Bath and North East Somerset</t>
  </si>
  <si>
    <t>Bristol, City of</t>
  </si>
  <si>
    <t>Cheltenham</t>
  </si>
  <si>
    <t>Cotswold</t>
  </si>
  <si>
    <t>Forest of Dean</t>
  </si>
  <si>
    <t>Gloucester</t>
  </si>
  <si>
    <t>North Somerset</t>
  </si>
  <si>
    <t>South Gloucestershire</t>
  </si>
  <si>
    <t>Stroud</t>
  </si>
  <si>
    <t>Swindon</t>
  </si>
  <si>
    <t>Tewkesbury</t>
  </si>
  <si>
    <t>Wiltshire</t>
  </si>
  <si>
    <t>Gloucestershire</t>
  </si>
  <si>
    <t>Greater West of England</t>
  </si>
  <si>
    <t>Part-time working rates by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</si>
</sst>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Aptos Narrow"/>
      <family val="2"/>
      <scheme val="minor"/>
    </font>
    <font>
      <b/>
      <sz val="11"/>
      <color theme="1"/>
      <name val="Aptos Narrow"/>
      <family val="2"/>
      <scheme val="minor"/>
    </font>
    <font>
      <sz val="11"/>
      <color indexed="8"/>
      <name val="Aptos Narrow"/>
      <family val="2"/>
      <scheme val="minor"/>
    </font>
    <font>
      <sz val="11"/>
      <name val="Aptos Narrow"/>
      <family val="2"/>
      <scheme val="minor"/>
    </font>
    <font>
      <u/>
      <sz val="11"/>
      <color theme="10"/>
      <name val="Aptos Narrow"/>
      <family val="2"/>
      <scheme val="minor"/>
    </font>
    <font>
      <sz val="11"/>
      <color rgb="FF0B0C0C"/>
      <name val="Aptos Narrow"/>
      <family val="2"/>
      <scheme val="minor"/>
    </font>
    <font>
      <b/>
      <sz val="12"/>
      <name val="Arial"/>
      <family val="2"/>
    </font>
    <font>
      <sz val="10"/>
      <name val="Arial"/>
      <family val="2"/>
    </font>
    <font>
      <b/>
      <sz val="10"/>
      <name val="Arial"/>
      <family val="2"/>
    </font>
    <font>
      <b/>
      <sz val="11"/>
      <name val="Aptos Narrow"/>
      <family val="2"/>
      <scheme val="minor"/>
    </font>
    <font>
      <sz val="11"/>
      <color theme="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2" fillId="0" borderId="0"/>
    <xf numFmtId="0" fontId="4" fillId="0" borderId="0" applyNumberFormat="0" applyFill="0" applyBorder="0" applyAlignment="0" applyProtection="0"/>
  </cellStyleXfs>
  <cellXfs count="26">
    <xf numFmtId="0" fontId="0" fillId="0" borderId="0" xfId="0"/>
    <xf numFmtId="0" fontId="3" fillId="0" borderId="0" xfId="1" applyFont="1" applyAlignment="1">
      <alignment wrapText="1"/>
    </xf>
    <xf numFmtId="0" fontId="1" fillId="0" borderId="0" xfId="0" applyFont="1"/>
    <xf numFmtId="0" fontId="0" fillId="0" borderId="0" xfId="0" applyAlignment="1">
      <alignment wrapText="1"/>
    </xf>
    <xf numFmtId="14" fontId="0" fillId="0" borderId="0" xfId="0" applyNumberFormat="1" applyAlignment="1">
      <alignment wrapText="1"/>
    </xf>
    <xf numFmtId="0" fontId="4" fillId="0" borderId="0" xfId="2"/>
    <xf numFmtId="17" fontId="0" fillId="0" borderId="0" xfId="0" applyNumberFormat="1" applyAlignment="1">
      <alignment horizontal="right" wrapText="1"/>
    </xf>
    <xf numFmtId="15" fontId="0" fillId="0" borderId="0" xfId="0" applyNumberFormat="1" applyAlignment="1">
      <alignment horizontal="right" wrapText="1"/>
    </xf>
    <xf numFmtId="0" fontId="5" fillId="0" borderId="0" xfId="0" applyFont="1" applyAlignment="1">
      <alignment vertical="center"/>
    </xf>
    <xf numFmtId="0" fontId="2" fillId="0" borderId="0" xfId="1"/>
    <xf numFmtId="0" fontId="6" fillId="0" borderId="0" xfId="1" applyFont="1" applyAlignment="1">
      <alignment horizontal="left" vertical="center"/>
    </xf>
    <xf numFmtId="0" fontId="7" fillId="0" borderId="0" xfId="1" applyFont="1"/>
    <xf numFmtId="0" fontId="7" fillId="0" borderId="0" xfId="1" applyFont="1" applyAlignment="1">
      <alignment horizontal="left"/>
    </xf>
    <xf numFmtId="0" fontId="8" fillId="0" borderId="0" xfId="1" applyFont="1" applyAlignment="1">
      <alignment horizontal="right" vertical="center"/>
    </xf>
    <xf numFmtId="0" fontId="8" fillId="0" borderId="0" xfId="1" applyFont="1" applyAlignment="1">
      <alignment horizontal="left" vertical="center" wrapText="1"/>
    </xf>
    <xf numFmtId="0" fontId="7" fillId="0" borderId="0" xfId="1" applyNumberFormat="1" applyFont="1" applyAlignment="1">
      <alignment horizontal="left"/>
    </xf>
    <xf numFmtId="3" fontId="7" fillId="0" borderId="0" xfId="1" applyNumberFormat="1" applyFont="1" applyAlignment="1">
      <alignment horizontal="right"/>
    </xf>
    <xf numFmtId="164" fontId="7" fillId="0" borderId="0" xfId="1" applyNumberFormat="1" applyFont="1" applyAlignment="1">
      <alignment horizontal="right"/>
    </xf>
    <xf numFmtId="0" fontId="9" fillId="0" borderId="0" xfId="1" applyFont="1" applyAlignment="1">
      <alignment horizontal="left" vertical="center" wrapText="1"/>
    </xf>
    <xf numFmtId="0" fontId="9" fillId="0" borderId="0" xfId="1" applyFont="1" applyAlignment="1">
      <alignment horizontal="center" vertical="center" wrapText="1"/>
    </xf>
    <xf numFmtId="0" fontId="3" fillId="0" borderId="0" xfId="1" applyNumberFormat="1" applyFont="1" applyAlignment="1">
      <alignment horizontal="left"/>
    </xf>
    <xf numFmtId="164" fontId="3" fillId="0" borderId="0" xfId="1" applyNumberFormat="1" applyFont="1" applyAlignment="1">
      <alignment horizontal="right"/>
    </xf>
    <xf numFmtId="0" fontId="3" fillId="0" borderId="0" xfId="1" applyNumberFormat="1" applyFont="1" applyFill="1" applyAlignment="1">
      <alignment horizontal="left"/>
    </xf>
    <xf numFmtId="0" fontId="8" fillId="0" borderId="0" xfId="1" applyFont="1" applyAlignment="1">
      <alignment horizontal="center" vertical="center" wrapText="1"/>
    </xf>
    <xf numFmtId="0" fontId="2" fillId="0" borderId="0" xfId="1"/>
    <xf numFmtId="0" fontId="10" fillId="0" borderId="0" xfId="1" applyNumberFormat="1" applyFont="1" applyFill="1" applyAlignment="1">
      <alignment horizontal="left"/>
    </xf>
  </cellXfs>
  <cellStyles count="3">
    <cellStyle name="Hyperlink" xfId="2" builtinId="8"/>
    <cellStyle name="Normal" xfId="0" builtinId="0"/>
    <cellStyle name="Normal 2" xfId="1" xr:uid="{7A716233-22CC-4C9D-958C-EE7539DC8A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menuopt=200&amp;subcom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F9A95-14F3-4F5C-9E63-CB893F0E53F6}">
  <dimension ref="A1:B11"/>
  <sheetViews>
    <sheetView workbookViewId="0">
      <selection activeCell="D10" sqref="D10"/>
    </sheetView>
  </sheetViews>
  <sheetFormatPr defaultRowHeight="14.5" x14ac:dyDescent="0.35"/>
  <cols>
    <col min="1" max="1" width="24.54296875" customWidth="1"/>
    <col min="2" max="2" width="70.08984375" customWidth="1"/>
  </cols>
  <sheetData>
    <row r="1" spans="1:2" x14ac:dyDescent="0.35">
      <c r="A1" s="2" t="s">
        <v>16</v>
      </c>
      <c r="B1" s="3" t="s">
        <v>15</v>
      </c>
    </row>
    <row r="2" spans="1:2" x14ac:dyDescent="0.35">
      <c r="A2" s="2" t="s">
        <v>14</v>
      </c>
      <c r="B2" s="8" t="s">
        <v>13</v>
      </c>
    </row>
    <row r="3" spans="1:2" x14ac:dyDescent="0.35">
      <c r="A3" s="2" t="s">
        <v>12</v>
      </c>
      <c r="B3" s="8" t="s">
        <v>62</v>
      </c>
    </row>
    <row r="4" spans="1:2" x14ac:dyDescent="0.35">
      <c r="A4" s="2" t="s">
        <v>11</v>
      </c>
      <c r="B4" s="7">
        <v>46042</v>
      </c>
    </row>
    <row r="5" spans="1:2" x14ac:dyDescent="0.35">
      <c r="A5" s="2" t="s">
        <v>10</v>
      </c>
      <c r="B5" s="6">
        <v>46113</v>
      </c>
    </row>
    <row r="6" spans="1:2" x14ac:dyDescent="0.35">
      <c r="A6" s="2" t="s">
        <v>9</v>
      </c>
      <c r="B6" s="5" t="s">
        <v>8</v>
      </c>
    </row>
    <row r="7" spans="1:2" x14ac:dyDescent="0.35">
      <c r="A7" s="2" t="s">
        <v>7</v>
      </c>
      <c r="B7" s="4">
        <v>46121</v>
      </c>
    </row>
    <row r="8" spans="1:2" x14ac:dyDescent="0.35">
      <c r="A8" s="2" t="s">
        <v>6</v>
      </c>
      <c r="B8" s="4">
        <v>46121</v>
      </c>
    </row>
    <row r="9" spans="1:2" ht="58" x14ac:dyDescent="0.35">
      <c r="A9" s="2" t="s">
        <v>5</v>
      </c>
      <c r="B9" s="3" t="s">
        <v>4</v>
      </c>
    </row>
    <row r="10" spans="1:2" x14ac:dyDescent="0.35">
      <c r="A10" s="2" t="s">
        <v>3</v>
      </c>
      <c r="B10" s="3" t="s">
        <v>2</v>
      </c>
    </row>
    <row r="11" spans="1:2" ht="159.5" x14ac:dyDescent="0.35">
      <c r="A11" s="2" t="s">
        <v>1</v>
      </c>
      <c r="B11" s="1" t="s">
        <v>0</v>
      </c>
    </row>
  </sheetData>
  <hyperlinks>
    <hyperlink ref="B6" r:id="rId1" display="https://www.nomisweb.co.uk/query/construct/summary.asp?menuopt=200&amp;subcomp=" xr:uid="{12E4C9D8-6D87-43DC-869A-B9A0C236315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49FE3-00EA-4777-A693-79FACCF8D66F}">
  <dimension ref="A1:M24"/>
  <sheetViews>
    <sheetView topLeftCell="A3" workbookViewId="0">
      <selection activeCell="B26" sqref="B26"/>
    </sheetView>
  </sheetViews>
  <sheetFormatPr defaultRowHeight="14.5" x14ac:dyDescent="0.35"/>
  <cols>
    <col min="1" max="1" width="33.1796875" customWidth="1"/>
    <col min="2" max="2" width="22.81640625" customWidth="1"/>
    <col min="3" max="3" width="11.6328125" bestFit="1" customWidth="1"/>
    <col min="4" max="4" width="7.36328125" bestFit="1" customWidth="1"/>
    <col min="5" max="5" width="4.6328125" bestFit="1" customWidth="1"/>
    <col min="6" max="6" width="9.7265625" bestFit="1" customWidth="1"/>
    <col min="7" max="7" width="11.6328125" bestFit="1" customWidth="1"/>
    <col min="8" max="8" width="7.36328125" bestFit="1" customWidth="1"/>
    <col min="9" max="9" width="4.6328125" bestFit="1" customWidth="1"/>
    <col min="10" max="10" width="9.7265625" bestFit="1" customWidth="1"/>
    <col min="11" max="11" width="11.6328125" bestFit="1" customWidth="1"/>
    <col min="12" max="12" width="7.36328125" bestFit="1" customWidth="1"/>
    <col min="13" max="13" width="4.6328125" bestFit="1" customWidth="1"/>
  </cols>
  <sheetData>
    <row r="1" spans="1:13" ht="15.5" x14ac:dyDescent="0.35">
      <c r="A1" s="10" t="s">
        <v>17</v>
      </c>
      <c r="B1" s="9"/>
      <c r="C1" s="9"/>
      <c r="D1" s="9"/>
      <c r="E1" s="9"/>
      <c r="F1" s="9"/>
      <c r="G1" s="9"/>
      <c r="H1" s="9"/>
      <c r="I1" s="9"/>
      <c r="J1" s="9"/>
      <c r="K1" s="9"/>
      <c r="L1" s="9"/>
      <c r="M1" s="9"/>
    </row>
    <row r="2" spans="1:13" x14ac:dyDescent="0.35">
      <c r="A2" s="11" t="s">
        <v>18</v>
      </c>
      <c r="B2" s="9"/>
      <c r="C2" s="9"/>
      <c r="D2" s="9"/>
      <c r="E2" s="9"/>
      <c r="F2" s="9"/>
      <c r="G2" s="9"/>
      <c r="H2" s="9"/>
      <c r="I2" s="9"/>
      <c r="J2" s="9"/>
      <c r="K2" s="9"/>
      <c r="L2" s="9"/>
      <c r="M2" s="9"/>
    </row>
    <row r="4" spans="1:13" x14ac:dyDescent="0.35">
      <c r="A4" s="12" t="s">
        <v>19</v>
      </c>
      <c r="B4" s="12" t="s">
        <v>20</v>
      </c>
      <c r="C4" s="9"/>
      <c r="D4" s="9"/>
      <c r="E4" s="9"/>
      <c r="F4" s="9"/>
      <c r="G4" s="9"/>
      <c r="H4" s="9"/>
      <c r="I4" s="9"/>
      <c r="J4" s="9"/>
      <c r="K4" s="9"/>
      <c r="L4" s="9"/>
      <c r="M4" s="9"/>
    </row>
    <row r="5" spans="1:13" x14ac:dyDescent="0.35">
      <c r="A5" s="12" t="s">
        <v>21</v>
      </c>
      <c r="B5" s="12" t="s">
        <v>22</v>
      </c>
      <c r="C5" s="9"/>
      <c r="D5" s="9"/>
      <c r="E5" s="9"/>
      <c r="F5" s="9"/>
      <c r="G5" s="9"/>
      <c r="H5" s="9"/>
      <c r="I5" s="9"/>
      <c r="J5" s="9"/>
      <c r="K5" s="9"/>
      <c r="L5" s="9"/>
      <c r="M5" s="9"/>
    </row>
    <row r="7" spans="1:13" x14ac:dyDescent="0.35">
      <c r="A7" s="14" t="s">
        <v>23</v>
      </c>
      <c r="B7" s="23" t="s">
        <v>24</v>
      </c>
      <c r="C7" s="24"/>
      <c r="D7" s="24"/>
      <c r="E7" s="24"/>
      <c r="F7" s="23" t="s">
        <v>25</v>
      </c>
      <c r="G7" s="24"/>
      <c r="H7" s="24"/>
      <c r="I7" s="24"/>
      <c r="J7" s="23" t="s">
        <v>26</v>
      </c>
      <c r="K7" s="24"/>
      <c r="L7" s="24"/>
      <c r="M7" s="24"/>
    </row>
    <row r="8" spans="1:13" x14ac:dyDescent="0.35">
      <c r="A8" s="9"/>
      <c r="B8" s="13" t="s">
        <v>27</v>
      </c>
      <c r="C8" s="13" t="s">
        <v>28</v>
      </c>
      <c r="D8" s="13" t="s">
        <v>29</v>
      </c>
      <c r="E8" s="13" t="s">
        <v>30</v>
      </c>
      <c r="F8" s="13" t="s">
        <v>27</v>
      </c>
      <c r="G8" s="13" t="s">
        <v>28</v>
      </c>
      <c r="H8" s="13" t="s">
        <v>29</v>
      </c>
      <c r="I8" s="13" t="s">
        <v>30</v>
      </c>
      <c r="J8" s="13" t="s">
        <v>27</v>
      </c>
      <c r="K8" s="13" t="s">
        <v>28</v>
      </c>
      <c r="L8" s="13" t="s">
        <v>29</v>
      </c>
      <c r="M8" s="13" t="s">
        <v>30</v>
      </c>
    </row>
    <row r="9" spans="1:13" x14ac:dyDescent="0.35">
      <c r="A9" s="15" t="s">
        <v>31</v>
      </c>
      <c r="B9" s="16">
        <v>27100</v>
      </c>
      <c r="C9" s="16">
        <v>92400</v>
      </c>
      <c r="D9" s="17">
        <v>29.3</v>
      </c>
      <c r="E9" s="17">
        <v>4.7</v>
      </c>
      <c r="F9" s="16">
        <v>6300</v>
      </c>
      <c r="G9" s="16">
        <v>42800</v>
      </c>
      <c r="H9" s="17">
        <v>14.7</v>
      </c>
      <c r="I9" s="17">
        <v>5.3</v>
      </c>
      <c r="J9" s="16">
        <v>20800</v>
      </c>
      <c r="K9" s="16">
        <v>49600</v>
      </c>
      <c r="L9" s="17">
        <v>42</v>
      </c>
      <c r="M9" s="17">
        <v>7.1</v>
      </c>
    </row>
    <row r="10" spans="1:13" x14ac:dyDescent="0.35">
      <c r="A10" s="15" t="s">
        <v>32</v>
      </c>
      <c r="B10" s="16">
        <v>60700</v>
      </c>
      <c r="C10" s="16">
        <v>254900</v>
      </c>
      <c r="D10" s="17">
        <v>23.8</v>
      </c>
      <c r="E10" s="17">
        <v>3.8</v>
      </c>
      <c r="F10" s="16">
        <v>20700</v>
      </c>
      <c r="G10" s="16">
        <v>133800</v>
      </c>
      <c r="H10" s="17">
        <v>15.5</v>
      </c>
      <c r="I10" s="17">
        <v>4.5999999999999996</v>
      </c>
      <c r="J10" s="16">
        <v>40000</v>
      </c>
      <c r="K10" s="16">
        <v>121100</v>
      </c>
      <c r="L10" s="17">
        <v>33.1</v>
      </c>
      <c r="M10" s="17">
        <v>6</v>
      </c>
    </row>
    <row r="11" spans="1:13" x14ac:dyDescent="0.35">
      <c r="A11" s="15" t="s">
        <v>33</v>
      </c>
      <c r="B11" s="16">
        <v>13700</v>
      </c>
      <c r="C11" s="16">
        <v>59400</v>
      </c>
      <c r="D11" s="17">
        <v>23.1</v>
      </c>
      <c r="E11" s="17">
        <v>8.6</v>
      </c>
      <c r="F11" s="16">
        <v>1900</v>
      </c>
      <c r="G11" s="16">
        <v>26800</v>
      </c>
      <c r="H11" s="17">
        <v>7</v>
      </c>
      <c r="I11" s="16" t="s">
        <v>34</v>
      </c>
      <c r="J11" s="16">
        <v>11800</v>
      </c>
      <c r="K11" s="16">
        <v>32600</v>
      </c>
      <c r="L11" s="17">
        <v>36.299999999999997</v>
      </c>
      <c r="M11" s="17">
        <v>13.5</v>
      </c>
    </row>
    <row r="12" spans="1:13" x14ac:dyDescent="0.35">
      <c r="A12" s="15" t="s">
        <v>35</v>
      </c>
      <c r="B12" s="16">
        <v>7800</v>
      </c>
      <c r="C12" s="16">
        <v>38600</v>
      </c>
      <c r="D12" s="17">
        <v>20.3</v>
      </c>
      <c r="E12" s="17">
        <v>8.6999999999999993</v>
      </c>
      <c r="F12" s="16">
        <v>1600</v>
      </c>
      <c r="G12" s="16">
        <v>22400</v>
      </c>
      <c r="H12" s="17">
        <v>7.2</v>
      </c>
      <c r="I12" s="16" t="s">
        <v>34</v>
      </c>
      <c r="J12" s="16">
        <v>6200</v>
      </c>
      <c r="K12" s="16">
        <v>16300</v>
      </c>
      <c r="L12" s="17">
        <v>38.299999999999997</v>
      </c>
      <c r="M12" s="17">
        <v>15.7</v>
      </c>
    </row>
    <row r="13" spans="1:13" x14ac:dyDescent="0.35">
      <c r="A13" s="15" t="s">
        <v>36</v>
      </c>
      <c r="B13" s="16">
        <v>12100</v>
      </c>
      <c r="C13" s="16">
        <v>43700</v>
      </c>
      <c r="D13" s="17">
        <v>27.7</v>
      </c>
      <c r="E13" s="17">
        <v>10.5</v>
      </c>
      <c r="F13" s="16">
        <v>4500</v>
      </c>
      <c r="G13" s="16">
        <v>25800</v>
      </c>
      <c r="H13" s="17">
        <v>17.3</v>
      </c>
      <c r="I13" s="16" t="s">
        <v>34</v>
      </c>
      <c r="J13" s="16">
        <v>7600</v>
      </c>
      <c r="K13" s="16">
        <v>17900</v>
      </c>
      <c r="L13" s="17">
        <v>42.6</v>
      </c>
      <c r="M13" s="17">
        <v>17.7</v>
      </c>
    </row>
    <row r="14" spans="1:13" x14ac:dyDescent="0.35">
      <c r="A14" s="15" t="s">
        <v>37</v>
      </c>
      <c r="B14" s="16">
        <v>16100</v>
      </c>
      <c r="C14" s="16">
        <v>71300</v>
      </c>
      <c r="D14" s="17">
        <v>22.6</v>
      </c>
      <c r="E14" s="17">
        <v>7.6</v>
      </c>
      <c r="F14" s="16">
        <v>2900</v>
      </c>
      <c r="G14" s="16">
        <v>37400</v>
      </c>
      <c r="H14" s="17">
        <v>7.9</v>
      </c>
      <c r="I14" s="16" t="s">
        <v>34</v>
      </c>
      <c r="J14" s="16">
        <v>13200</v>
      </c>
      <c r="K14" s="16">
        <v>33900</v>
      </c>
      <c r="L14" s="17">
        <v>38.9</v>
      </c>
      <c r="M14" s="17">
        <v>12.7</v>
      </c>
    </row>
    <row r="15" spans="1:13" x14ac:dyDescent="0.35">
      <c r="A15" s="15" t="s">
        <v>38</v>
      </c>
      <c r="B15" s="16">
        <v>21600</v>
      </c>
      <c r="C15" s="16">
        <v>103100</v>
      </c>
      <c r="D15" s="17">
        <v>21</v>
      </c>
      <c r="E15" s="17">
        <v>3.5</v>
      </c>
      <c r="F15" s="16">
        <v>4800</v>
      </c>
      <c r="G15" s="16">
        <v>54700</v>
      </c>
      <c r="H15" s="17">
        <v>8.6999999999999993</v>
      </c>
      <c r="I15" s="17">
        <v>3.4</v>
      </c>
      <c r="J15" s="16">
        <v>16800</v>
      </c>
      <c r="K15" s="16">
        <v>48300</v>
      </c>
      <c r="L15" s="17">
        <v>34.799999999999997</v>
      </c>
      <c r="M15" s="17">
        <v>5.8</v>
      </c>
    </row>
    <row r="16" spans="1:13" x14ac:dyDescent="0.35">
      <c r="A16" s="15" t="s">
        <v>39</v>
      </c>
      <c r="B16" s="16">
        <v>30700</v>
      </c>
      <c r="C16" s="16">
        <v>149600</v>
      </c>
      <c r="D16" s="17">
        <v>20.5</v>
      </c>
      <c r="E16" s="17">
        <v>3.4</v>
      </c>
      <c r="F16" s="16">
        <v>6200</v>
      </c>
      <c r="G16" s="16">
        <v>80300</v>
      </c>
      <c r="H16" s="17">
        <v>7.7</v>
      </c>
      <c r="I16" s="17">
        <v>3.2</v>
      </c>
      <c r="J16" s="16">
        <v>24500</v>
      </c>
      <c r="K16" s="16">
        <v>69200</v>
      </c>
      <c r="L16" s="17">
        <v>35.4</v>
      </c>
      <c r="M16" s="17">
        <v>5.8</v>
      </c>
    </row>
    <row r="17" spans="1:13" x14ac:dyDescent="0.35">
      <c r="A17" s="15" t="s">
        <v>40</v>
      </c>
      <c r="B17" s="16">
        <v>15500</v>
      </c>
      <c r="C17" s="16">
        <v>57300</v>
      </c>
      <c r="D17" s="17">
        <v>27.1</v>
      </c>
      <c r="E17" s="17">
        <v>8.3000000000000007</v>
      </c>
      <c r="F17" s="16">
        <v>3400</v>
      </c>
      <c r="G17" s="16">
        <v>27400</v>
      </c>
      <c r="H17" s="17">
        <v>12.4</v>
      </c>
      <c r="I17" s="16" t="s">
        <v>34</v>
      </c>
      <c r="J17" s="16">
        <v>12100</v>
      </c>
      <c r="K17" s="16">
        <v>29900</v>
      </c>
      <c r="L17" s="17">
        <v>40.5</v>
      </c>
      <c r="M17" s="17">
        <v>12.6</v>
      </c>
    </row>
    <row r="18" spans="1:13" x14ac:dyDescent="0.35">
      <c r="A18" s="15" t="s">
        <v>41</v>
      </c>
      <c r="B18" s="16">
        <v>21700</v>
      </c>
      <c r="C18" s="16">
        <v>108300</v>
      </c>
      <c r="D18" s="17">
        <v>20.100000000000001</v>
      </c>
      <c r="E18" s="17">
        <v>3.9</v>
      </c>
      <c r="F18" s="16">
        <v>7000</v>
      </c>
      <c r="G18" s="16">
        <v>59400</v>
      </c>
      <c r="H18" s="17">
        <v>11.8</v>
      </c>
      <c r="I18" s="17">
        <v>4.5</v>
      </c>
      <c r="J18" s="16">
        <v>14700</v>
      </c>
      <c r="K18" s="16">
        <v>48900</v>
      </c>
      <c r="L18" s="17">
        <v>30.1</v>
      </c>
      <c r="M18" s="17">
        <v>6.4</v>
      </c>
    </row>
    <row r="19" spans="1:13" x14ac:dyDescent="0.35">
      <c r="A19" s="15" t="s">
        <v>42</v>
      </c>
      <c r="B19" s="16">
        <v>13300</v>
      </c>
      <c r="C19" s="16">
        <v>45000</v>
      </c>
      <c r="D19" s="17">
        <v>29.6</v>
      </c>
      <c r="E19" s="17">
        <v>11.3</v>
      </c>
      <c r="F19" s="16">
        <v>1900</v>
      </c>
      <c r="G19" s="16">
        <v>22100</v>
      </c>
      <c r="H19" s="17">
        <v>8.6999999999999993</v>
      </c>
      <c r="I19" s="16" t="s">
        <v>34</v>
      </c>
      <c r="J19" s="16">
        <v>11400</v>
      </c>
      <c r="K19" s="16">
        <v>22900</v>
      </c>
      <c r="L19" s="17">
        <v>49.8</v>
      </c>
      <c r="M19" s="17">
        <v>17.3</v>
      </c>
    </row>
    <row r="20" spans="1:13" x14ac:dyDescent="0.35">
      <c r="A20" s="15" t="s">
        <v>43</v>
      </c>
      <c r="B20" s="16">
        <v>61200</v>
      </c>
      <c r="C20" s="16">
        <v>247900</v>
      </c>
      <c r="D20" s="17">
        <v>24.7</v>
      </c>
      <c r="E20" s="17">
        <v>3.7</v>
      </c>
      <c r="F20" s="16">
        <v>14200</v>
      </c>
      <c r="G20" s="16">
        <v>126900</v>
      </c>
      <c r="H20" s="17">
        <v>11.2</v>
      </c>
      <c r="I20" s="17">
        <v>4</v>
      </c>
      <c r="J20" s="16">
        <v>47000</v>
      </c>
      <c r="K20" s="16">
        <v>121000</v>
      </c>
      <c r="L20" s="17">
        <v>38.9</v>
      </c>
      <c r="M20" s="17">
        <v>5.9</v>
      </c>
    </row>
    <row r="21" spans="1:13" x14ac:dyDescent="0.35">
      <c r="A21" s="15" t="s">
        <v>44</v>
      </c>
      <c r="B21" s="16">
        <v>6152300</v>
      </c>
      <c r="C21" s="16">
        <v>26843300</v>
      </c>
      <c r="D21" s="17">
        <v>22.9</v>
      </c>
      <c r="E21" s="17">
        <v>0.3</v>
      </c>
      <c r="F21" s="16">
        <v>1610500</v>
      </c>
      <c r="G21" s="16">
        <v>13940400</v>
      </c>
      <c r="H21" s="17">
        <v>11.6</v>
      </c>
      <c r="I21" s="17">
        <v>0.4</v>
      </c>
      <c r="J21" s="16">
        <v>4541800</v>
      </c>
      <c r="K21" s="16">
        <v>12902900</v>
      </c>
      <c r="L21" s="17">
        <v>35.200000000000003</v>
      </c>
      <c r="M21" s="17">
        <v>0.6</v>
      </c>
    </row>
    <row r="23" spans="1:13" x14ac:dyDescent="0.35">
      <c r="A23" s="11" t="s">
        <v>45</v>
      </c>
      <c r="B23" s="9"/>
      <c r="C23" s="9"/>
      <c r="D23" s="9"/>
      <c r="E23" s="9"/>
      <c r="F23" s="9"/>
      <c r="G23" s="9"/>
      <c r="H23" s="9"/>
      <c r="I23" s="9"/>
      <c r="J23" s="9"/>
      <c r="K23" s="9"/>
      <c r="L23" s="9"/>
      <c r="M23" s="9"/>
    </row>
    <row r="24" spans="1:13" x14ac:dyDescent="0.35">
      <c r="A24" s="11" t="s">
        <v>46</v>
      </c>
      <c r="B24" s="9"/>
      <c r="C24" s="9"/>
      <c r="D24" s="9"/>
      <c r="E24" s="9"/>
      <c r="F24" s="9"/>
      <c r="G24" s="9"/>
      <c r="H24" s="9"/>
      <c r="I24" s="9"/>
      <c r="J24" s="9"/>
      <c r="K24" s="9"/>
      <c r="L24" s="9"/>
      <c r="M24" s="9"/>
    </row>
  </sheetData>
  <mergeCells count="3">
    <mergeCell ref="B7:E7"/>
    <mergeCell ref="F7:I7"/>
    <mergeCell ref="J7:M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4D12B-0CE0-4451-82B3-3BE2B7C7F8ED}">
  <dimension ref="A1:D17"/>
  <sheetViews>
    <sheetView tabSelected="1" workbookViewId="0">
      <selection activeCell="A15" sqref="A15"/>
    </sheetView>
  </sheetViews>
  <sheetFormatPr defaultRowHeight="14.5" x14ac:dyDescent="0.35"/>
  <cols>
    <col min="1" max="1" width="25.54296875" bestFit="1" customWidth="1"/>
    <col min="2" max="2" width="23.08984375" bestFit="1" customWidth="1"/>
    <col min="3" max="4" width="27.36328125" bestFit="1" customWidth="1"/>
  </cols>
  <sheetData>
    <row r="1" spans="1:4" ht="29.5" customHeight="1" x14ac:dyDescent="0.35">
      <c r="A1" s="18" t="s">
        <v>23</v>
      </c>
      <c r="B1" s="19" t="s">
        <v>24</v>
      </c>
      <c r="C1" s="19" t="s">
        <v>25</v>
      </c>
      <c r="D1" s="19" t="s">
        <v>26</v>
      </c>
    </row>
    <row r="2" spans="1:4" x14ac:dyDescent="0.35">
      <c r="A2" s="20" t="s">
        <v>48</v>
      </c>
      <c r="B2" s="21">
        <v>29.3</v>
      </c>
      <c r="C2" s="21">
        <v>14.7</v>
      </c>
      <c r="D2" s="21">
        <v>42</v>
      </c>
    </row>
    <row r="3" spans="1:4" x14ac:dyDescent="0.35">
      <c r="A3" s="20" t="s">
        <v>49</v>
      </c>
      <c r="B3" s="21">
        <v>23.8</v>
      </c>
      <c r="C3" s="21">
        <v>15.5</v>
      </c>
      <c r="D3" s="21">
        <v>33.1</v>
      </c>
    </row>
    <row r="4" spans="1:4" x14ac:dyDescent="0.35">
      <c r="A4" s="20" t="s">
        <v>50</v>
      </c>
      <c r="B4" s="21">
        <v>23.1</v>
      </c>
      <c r="C4" s="21">
        <v>7</v>
      </c>
      <c r="D4" s="21">
        <v>36.299999999999997</v>
      </c>
    </row>
    <row r="5" spans="1:4" x14ac:dyDescent="0.35">
      <c r="A5" s="20" t="s">
        <v>51</v>
      </c>
      <c r="B5" s="21">
        <v>20.3</v>
      </c>
      <c r="C5" s="21">
        <v>7.2</v>
      </c>
      <c r="D5" s="21">
        <v>38.299999999999997</v>
      </c>
    </row>
    <row r="6" spans="1:4" x14ac:dyDescent="0.35">
      <c r="A6" s="20" t="s">
        <v>52</v>
      </c>
      <c r="B6" s="21">
        <v>27.7</v>
      </c>
      <c r="C6" s="21">
        <v>17.3</v>
      </c>
      <c r="D6" s="21">
        <v>42.6</v>
      </c>
    </row>
    <row r="7" spans="1:4" x14ac:dyDescent="0.35">
      <c r="A7" s="20" t="s">
        <v>53</v>
      </c>
      <c r="B7" s="21">
        <v>22.6</v>
      </c>
      <c r="C7" s="21">
        <v>7.9</v>
      </c>
      <c r="D7" s="21">
        <v>38.9</v>
      </c>
    </row>
    <row r="8" spans="1:4" x14ac:dyDescent="0.35">
      <c r="A8" s="20" t="s">
        <v>54</v>
      </c>
      <c r="B8" s="21">
        <v>21</v>
      </c>
      <c r="C8" s="21">
        <v>8.6999999999999993</v>
      </c>
      <c r="D8" s="21">
        <v>34.799999999999997</v>
      </c>
    </row>
    <row r="9" spans="1:4" x14ac:dyDescent="0.35">
      <c r="A9" s="20" t="s">
        <v>55</v>
      </c>
      <c r="B9" s="21">
        <v>20.5</v>
      </c>
      <c r="C9" s="21">
        <v>7.7</v>
      </c>
      <c r="D9" s="21">
        <v>35.4</v>
      </c>
    </row>
    <row r="10" spans="1:4" x14ac:dyDescent="0.35">
      <c r="A10" s="20" t="s">
        <v>56</v>
      </c>
      <c r="B10" s="21">
        <v>27.1</v>
      </c>
      <c r="C10" s="21">
        <v>12.4</v>
      </c>
      <c r="D10" s="21">
        <v>40.5</v>
      </c>
    </row>
    <row r="11" spans="1:4" x14ac:dyDescent="0.35">
      <c r="A11" s="20" t="s">
        <v>57</v>
      </c>
      <c r="B11" s="21">
        <v>20.100000000000001</v>
      </c>
      <c r="C11" s="21">
        <v>11.8</v>
      </c>
      <c r="D11" s="21">
        <v>30.1</v>
      </c>
    </row>
    <row r="12" spans="1:4" x14ac:dyDescent="0.35">
      <c r="A12" s="20" t="s">
        <v>58</v>
      </c>
      <c r="B12" s="21">
        <v>29.6</v>
      </c>
      <c r="C12" s="21">
        <v>8.6999999999999993</v>
      </c>
      <c r="D12" s="21">
        <v>49.8</v>
      </c>
    </row>
    <row r="13" spans="1:4" x14ac:dyDescent="0.35">
      <c r="A13" s="20" t="s">
        <v>59</v>
      </c>
      <c r="B13" s="21">
        <v>24.7</v>
      </c>
      <c r="C13" s="21">
        <v>11.2</v>
      </c>
      <c r="D13" s="21">
        <v>38.9</v>
      </c>
    </row>
    <row r="14" spans="1:4" x14ac:dyDescent="0.35">
      <c r="A14" s="22" t="s">
        <v>60</v>
      </c>
      <c r="B14" s="21">
        <v>24.896923564858863</v>
      </c>
      <c r="C14" s="21">
        <v>10.006176652254478</v>
      </c>
      <c r="D14" s="21">
        <v>40.586319218241037</v>
      </c>
    </row>
    <row r="15" spans="1:4" x14ac:dyDescent="0.35">
      <c r="A15" s="25">
        <f>-B19</f>
        <v>0</v>
      </c>
      <c r="B15" s="21"/>
      <c r="C15" s="21"/>
      <c r="D15" s="21"/>
    </row>
    <row r="16" spans="1:4" x14ac:dyDescent="0.35">
      <c r="A16" s="20" t="s">
        <v>47</v>
      </c>
      <c r="B16" s="21">
        <v>22.9</v>
      </c>
      <c r="C16" s="21">
        <v>11.6</v>
      </c>
      <c r="D16" s="21">
        <v>35.200000000000003</v>
      </c>
    </row>
    <row r="17" spans="1:4" x14ac:dyDescent="0.35">
      <c r="A17" s="22" t="s">
        <v>61</v>
      </c>
      <c r="B17" s="21">
        <v>23.712151002752655</v>
      </c>
      <c r="C17" s="21">
        <v>11.4277053652622</v>
      </c>
      <c r="D17" s="21">
        <v>36.968606932635709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2026-04-09T13:42:03Z</dcterms:created>
  <dcterms:modified xsi:type="dcterms:W3CDTF">2026-04-16T14:02:39Z</dcterms:modified>
</cp:coreProperties>
</file>