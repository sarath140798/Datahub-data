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Hours worked and second jobs\"/>
    </mc:Choice>
  </mc:AlternateContent>
  <xr:revisionPtr revIDLastSave="0" documentId="13_ncr:1_{CC1F5DA2-FD5B-4176-8B16-F9C065062A8D}" xr6:coauthVersionLast="47" xr6:coauthVersionMax="47" xr10:uidLastSave="{00000000-0000-0000-0000-000000000000}"/>
  <bookViews>
    <workbookView xWindow="-110" yWindow="-110" windowWidth="19420" windowHeight="11500" activeTab="3" xr2:uid="{3FE7DE19-E5F4-4B3C-8DAF-7D1485873D37}"/>
  </bookViews>
  <sheets>
    <sheet name="Metadata" sheetId="2" r:id="rId1"/>
    <sheet name="Data" sheetId="1" r:id="rId2"/>
    <sheet name="Analysis" sheetId="3" r:id="rId3"/>
    <sheet name="Visual"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23" i="1" l="1"/>
  <c r="AR23" i="1"/>
  <c r="AN23" i="1"/>
  <c r="AJ23" i="1"/>
  <c r="AF23" i="1"/>
  <c r="AB23" i="1"/>
  <c r="X23" i="1"/>
  <c r="T23" i="1"/>
  <c r="P23" i="1"/>
  <c r="L23" i="1"/>
  <c r="H23" i="1"/>
  <c r="D23" i="1"/>
  <c r="C23" i="1"/>
  <c r="E23" i="1"/>
  <c r="F23" i="1"/>
  <c r="G23" i="1"/>
  <c r="I23" i="1"/>
  <c r="J23" i="1"/>
  <c r="K23" i="1"/>
  <c r="M23" i="1"/>
  <c r="N23" i="1"/>
  <c r="O23" i="1"/>
  <c r="Q23" i="1"/>
  <c r="R23" i="1"/>
  <c r="S23" i="1"/>
  <c r="U23" i="1"/>
  <c r="V23" i="1"/>
  <c r="W23" i="1"/>
  <c r="Y23" i="1"/>
  <c r="Z23" i="1"/>
  <c r="AA23" i="1"/>
  <c r="AC23" i="1"/>
  <c r="AD23" i="1"/>
  <c r="AE23" i="1"/>
  <c r="AG23" i="1"/>
  <c r="AH23" i="1"/>
  <c r="AI23" i="1"/>
  <c r="AK23" i="1"/>
  <c r="AL23" i="1"/>
  <c r="AM23" i="1"/>
  <c r="AO23" i="1"/>
  <c r="AP23" i="1"/>
  <c r="AQ23" i="1"/>
  <c r="AS23" i="1"/>
  <c r="AT23" i="1"/>
  <c r="AU23" i="1"/>
  <c r="AW23" i="1"/>
  <c r="B23" i="1"/>
</calcChain>
</file>

<file path=xl/sharedStrings.xml><?xml version="1.0" encoding="utf-8"?>
<sst xmlns="http://schemas.openxmlformats.org/spreadsheetml/2006/main" count="252" uniqueCount="75">
  <si>
    <t>Data information:</t>
  </si>
  <si>
    <t>Aggregated by NOMIS</t>
  </si>
  <si>
    <t xml:space="preserve">Aggregation method  </t>
  </si>
  <si>
    <t>Geography used for analysis</t>
  </si>
  <si>
    <t>Last updated</t>
  </si>
  <si>
    <t>Created date</t>
  </si>
  <si>
    <t>Nomis - Query Tool - annual population survey</t>
  </si>
  <si>
    <t>Link</t>
  </si>
  <si>
    <t>Next update</t>
  </si>
  <si>
    <t>Publication date</t>
  </si>
  <si>
    <t>Tables</t>
  </si>
  <si>
    <t>Annual Population Survey</t>
  </si>
  <si>
    <t>Dataset</t>
  </si>
  <si>
    <t>Nomis</t>
  </si>
  <si>
    <t>Publisher</t>
  </si>
  <si>
    <t>annual population survey</t>
  </si>
  <si>
    <t>ONS Crown Copyright Reserved [from Nomis on 10 April 2026]</t>
  </si>
  <si>
    <t>confidence</t>
  </si>
  <si>
    <t>95% confidence interval of percent figure (+/-)</t>
  </si>
  <si>
    <t>date</t>
  </si>
  <si>
    <t>Oct 2024-Sep 2025</t>
  </si>
  <si>
    <t>Area</t>
  </si>
  <si>
    <t>% of all in employment who work under 10 hours</t>
  </si>
  <si>
    <t>% of all in employment who work 10-34 hours</t>
  </si>
  <si>
    <t>% of all in employment who work 35-44 hours</t>
  </si>
  <si>
    <t>% of all in employment who work 45 hours or more</t>
  </si>
  <si>
    <t>% of males in employment who work under 10 hours</t>
  </si>
  <si>
    <t>% of males in employment who work 10-34 hours</t>
  </si>
  <si>
    <t>% of males in employment who work 35-44 hours</t>
  </si>
  <si>
    <t>% of males in employment who work 45 hours or more</t>
  </si>
  <si>
    <t>% of females in employment who work under 10 hours</t>
  </si>
  <si>
    <t>% of females in employment who work 10-34 hours</t>
  </si>
  <si>
    <t>% of females in employment who work 35-44 hours</t>
  </si>
  <si>
    <t>% of  females in employment who work 45 hours or more</t>
  </si>
  <si>
    <t>numerator</t>
  </si>
  <si>
    <t>denominator</t>
  </si>
  <si>
    <t>percent</t>
  </si>
  <si>
    <t>conf</t>
  </si>
  <si>
    <t>ladu2023:Bath and North East Somerset</t>
  </si>
  <si>
    <t>ladu2023:Bristol, City of</t>
  </si>
  <si>
    <t>*</t>
  </si>
  <si>
    <t>ladu2023:Cheltenham</t>
  </si>
  <si>
    <t>!</t>
  </si>
  <si>
    <t>ladu2023:Cotswold</t>
  </si>
  <si>
    <t>ladu2023:Forest of Dean</t>
  </si>
  <si>
    <t>ladu2023:Gloucester</t>
  </si>
  <si>
    <t>ladu2023:North Somerset</t>
  </si>
  <si>
    <t>ladu2023:South Gloucestershire</t>
  </si>
  <si>
    <t>ladu2023:Stroud</t>
  </si>
  <si>
    <t>ladu2023:Swindon</t>
  </si>
  <si>
    <t>ladu2023:Tewkesbury</t>
  </si>
  <si>
    <t>ladu2023:Wiltshire</t>
  </si>
  <si>
    <t>country:England</t>
  </si>
  <si>
    <t>gor:London</t>
  </si>
  <si>
    <t>! Estimate and confidence interval not available since the group sample size is zero or disclosive (0-2).</t>
  </si>
  <si>
    <t>* Estimate and confidence interval unreliable since the group sample size is small (3-9).</t>
  </si>
  <si>
    <t>APS Estimates have not been reweighted to new populations and consequently, will be inconsistent with the population totals used for the Labour Force Survey in the latest periods.</t>
  </si>
  <si>
    <t>Greater West of England</t>
  </si>
  <si>
    <t>Hours of work within the Greater West of England by gender</t>
  </si>
  <si>
    <t>Hours of employment summary for all in employment. Data based on responses over a 12 month period (October - September), labelled by the end of the year. Next calendar year update in April 2026.
APS Estimates have not been reweighted to new populations and consequently, will be inconsistent with the population totals used for the Labour Force Survey in the latest periods.
! Estimate and confidence interval not available since the group sample size is zero or disclosive (0-2).</t>
  </si>
  <si>
    <t>-</t>
  </si>
  <si>
    <t>Hours</t>
  </si>
  <si>
    <t>10-34 Hours</t>
  </si>
  <si>
    <t>Under 10 Hours</t>
  </si>
  <si>
    <t>35-44 Hours</t>
  </si>
  <si>
    <t>Total</t>
  </si>
  <si>
    <t>Gender</t>
  </si>
  <si>
    <t>45 Hours +</t>
  </si>
  <si>
    <t>Value</t>
  </si>
  <si>
    <t>Male</t>
  </si>
  <si>
    <t>Female</t>
  </si>
  <si>
    <t>Greater West of England area; Bath and North East Somerset, Bristol, Gloucestershire, North Somerset, South Gloucestershire, Swindon, Wiltshire. Gloucestershire district area; Cheltenham, Cotswold, Forest of Dean, Gloucester, Stroud, Tewkesbury. London, England.</t>
  </si>
  <si>
    <t>`</t>
  </si>
  <si>
    <t>England excluding London</t>
  </si>
  <si>
    <t>Englnad excluding 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</si>
</sst>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71" formatCode="0.0"/>
  </numFmts>
  <fonts count="11" x14ac:knownFonts="1">
    <font>
      <sz val="11"/>
      <color theme="1"/>
      <name val="Aptos Narrow"/>
      <family val="2"/>
      <scheme val="minor"/>
    </font>
    <font>
      <b/>
      <sz val="11"/>
      <color theme="1"/>
      <name val="Aptos Narrow"/>
      <family val="2"/>
      <scheme val="minor"/>
    </font>
    <font>
      <sz val="11"/>
      <color indexed="8"/>
      <name val="Aptos Narrow"/>
      <family val="2"/>
      <scheme val="minor"/>
    </font>
    <font>
      <sz val="11"/>
      <name val="Aptos Narrow"/>
      <family val="2"/>
      <scheme val="minor"/>
    </font>
    <font>
      <u/>
      <sz val="11"/>
      <color theme="10"/>
      <name val="Aptos Narrow"/>
      <family val="2"/>
      <scheme val="minor"/>
    </font>
    <font>
      <sz val="11"/>
      <color rgb="FF0B0C0C"/>
      <name val="Aptos Narrow"/>
      <family val="2"/>
      <scheme val="minor"/>
    </font>
    <font>
      <b/>
      <sz val="12"/>
      <name val="Arial"/>
      <family val="2"/>
    </font>
    <font>
      <sz val="10"/>
      <name val="Arial"/>
      <family val="2"/>
    </font>
    <font>
      <b/>
      <sz val="10"/>
      <name val="Arial"/>
      <family val="2"/>
    </font>
    <font>
      <sz val="11"/>
      <color theme="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4" fillId="0" borderId="0" applyNumberFormat="0" applyFill="0" applyBorder="0" applyAlignment="0" applyProtection="0"/>
  </cellStyleXfs>
  <cellXfs count="27">
    <xf numFmtId="0" fontId="0" fillId="0" borderId="0" xfId="0"/>
    <xf numFmtId="0" fontId="3" fillId="0" borderId="0" xfId="1" applyFont="1" applyAlignment="1">
      <alignment wrapText="1"/>
    </xf>
    <xf numFmtId="0" fontId="1" fillId="0" borderId="0" xfId="0" applyFont="1"/>
    <xf numFmtId="0" fontId="0" fillId="0" borderId="0" xfId="0" applyAlignment="1">
      <alignment wrapText="1"/>
    </xf>
    <xf numFmtId="14" fontId="0" fillId="0" borderId="0" xfId="0" applyNumberFormat="1" applyAlignment="1">
      <alignment wrapText="1"/>
    </xf>
    <xf numFmtId="0" fontId="4" fillId="0" borderId="0" xfId="2"/>
    <xf numFmtId="17" fontId="0" fillId="0" borderId="0" xfId="0" applyNumberFormat="1" applyAlignment="1">
      <alignment horizontal="right" wrapText="1"/>
    </xf>
    <xf numFmtId="15" fontId="0" fillId="0" borderId="0" xfId="0" applyNumberFormat="1" applyAlignment="1">
      <alignment horizontal="right" wrapText="1"/>
    </xf>
    <xf numFmtId="0" fontId="5" fillId="0" borderId="0" xfId="0" applyFont="1" applyAlignment="1">
      <alignment vertical="center"/>
    </xf>
    <xf numFmtId="0" fontId="2" fillId="0" borderId="0" xfId="1"/>
    <xf numFmtId="0" fontId="6" fillId="0" borderId="0" xfId="1" applyFont="1" applyAlignment="1">
      <alignment horizontal="left" vertical="center"/>
    </xf>
    <xf numFmtId="0" fontId="7" fillId="0" borderId="0" xfId="1" applyFont="1"/>
    <xf numFmtId="0" fontId="7" fillId="0" borderId="0" xfId="1" applyFont="1" applyAlignment="1">
      <alignment horizontal="left"/>
    </xf>
    <xf numFmtId="0" fontId="8" fillId="0" borderId="0" xfId="1" applyFont="1" applyAlignment="1">
      <alignment horizontal="right" vertical="center"/>
    </xf>
    <xf numFmtId="0" fontId="8" fillId="0" borderId="0" xfId="1" applyFont="1" applyAlignment="1">
      <alignment horizontal="left" vertical="center" wrapText="1"/>
    </xf>
    <xf numFmtId="0" fontId="7" fillId="0" borderId="0" xfId="1" applyNumberFormat="1" applyFont="1" applyAlignment="1">
      <alignment horizontal="left"/>
    </xf>
    <xf numFmtId="3" fontId="7" fillId="0" borderId="0" xfId="1" applyNumberFormat="1" applyFont="1" applyAlignment="1">
      <alignment horizontal="right"/>
    </xf>
    <xf numFmtId="164" fontId="7" fillId="0" borderId="0" xfId="1" applyNumberFormat="1" applyFont="1" applyAlignment="1">
      <alignment horizontal="right"/>
    </xf>
    <xf numFmtId="0" fontId="8" fillId="0" borderId="0" xfId="1" applyFont="1" applyAlignment="1">
      <alignment horizontal="center" vertical="center" wrapText="1"/>
    </xf>
    <xf numFmtId="0" fontId="7" fillId="0" borderId="0" xfId="1" applyNumberFormat="1" applyFont="1" applyFill="1" applyAlignment="1">
      <alignment horizontal="left"/>
    </xf>
    <xf numFmtId="164" fontId="0" fillId="0" borderId="0" xfId="0" applyNumberFormat="1"/>
    <xf numFmtId="164" fontId="0" fillId="0" borderId="0" xfId="0" applyNumberFormat="1" applyAlignment="1">
      <alignment wrapText="1"/>
    </xf>
    <xf numFmtId="0" fontId="9" fillId="0" borderId="0" xfId="0" applyFont="1"/>
    <xf numFmtId="0" fontId="8" fillId="0" borderId="0" xfId="1" applyFont="1" applyAlignment="1">
      <alignment horizontal="center" vertical="center" wrapText="1"/>
    </xf>
    <xf numFmtId="0" fontId="2" fillId="0" borderId="0" xfId="1"/>
    <xf numFmtId="3" fontId="0" fillId="0" borderId="0" xfId="0" applyNumberFormat="1"/>
    <xf numFmtId="171" fontId="0" fillId="0" borderId="0" xfId="0" applyNumberFormat="1" applyAlignment="1">
      <alignment wrapText="1"/>
    </xf>
  </cellXfs>
  <cellStyles count="3">
    <cellStyle name="Hyperlink" xfId="2" builtinId="8"/>
    <cellStyle name="Normal" xfId="0" builtinId="0"/>
    <cellStyle name="Normal 2" xfId="1" xr:uid="{CA5D1AC2-47FC-4EF4-8C80-DD3F820DDB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enuopt=200&amp;subco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EA1AA-618F-4186-AC7B-1963BBAFA903}">
  <dimension ref="A1:B11"/>
  <sheetViews>
    <sheetView workbookViewId="0">
      <selection activeCell="D9" sqref="D9"/>
    </sheetView>
  </sheetViews>
  <sheetFormatPr defaultRowHeight="14.5" x14ac:dyDescent="0.35"/>
  <cols>
    <col min="1" max="1" width="24.54296875" customWidth="1"/>
    <col min="2" max="2" width="70.08984375" customWidth="1"/>
  </cols>
  <sheetData>
    <row r="1" spans="1:2" x14ac:dyDescent="0.35">
      <c r="A1" s="2" t="s">
        <v>14</v>
      </c>
      <c r="B1" s="3" t="s">
        <v>13</v>
      </c>
    </row>
    <row r="2" spans="1:2" x14ac:dyDescent="0.35">
      <c r="A2" s="2" t="s">
        <v>12</v>
      </c>
      <c r="B2" s="8" t="s">
        <v>11</v>
      </c>
    </row>
    <row r="3" spans="1:2" x14ac:dyDescent="0.35">
      <c r="A3" s="2" t="s">
        <v>10</v>
      </c>
      <c r="B3" s="8" t="s">
        <v>58</v>
      </c>
    </row>
    <row r="4" spans="1:2" x14ac:dyDescent="0.35">
      <c r="A4" s="2" t="s">
        <v>9</v>
      </c>
      <c r="B4" s="7">
        <v>46042</v>
      </c>
    </row>
    <row r="5" spans="1:2" x14ac:dyDescent="0.35">
      <c r="A5" s="2" t="s">
        <v>8</v>
      </c>
      <c r="B5" s="6">
        <v>46113</v>
      </c>
    </row>
    <row r="6" spans="1:2" x14ac:dyDescent="0.35">
      <c r="A6" s="2" t="s">
        <v>7</v>
      </c>
      <c r="B6" s="5" t="s">
        <v>6</v>
      </c>
    </row>
    <row r="7" spans="1:2" x14ac:dyDescent="0.35">
      <c r="A7" s="2" t="s">
        <v>5</v>
      </c>
      <c r="B7" s="4">
        <v>46122</v>
      </c>
    </row>
    <row r="8" spans="1:2" x14ac:dyDescent="0.35">
      <c r="A8" s="2" t="s">
        <v>4</v>
      </c>
      <c r="B8" s="4">
        <v>46122</v>
      </c>
    </row>
    <row r="9" spans="1:2" ht="58" x14ac:dyDescent="0.35">
      <c r="A9" s="2" t="s">
        <v>3</v>
      </c>
      <c r="B9" s="3" t="s">
        <v>71</v>
      </c>
    </row>
    <row r="10" spans="1:2" x14ac:dyDescent="0.35">
      <c r="A10" s="2" t="s">
        <v>2</v>
      </c>
      <c r="B10" s="3" t="s">
        <v>1</v>
      </c>
    </row>
    <row r="11" spans="1:2" ht="145" x14ac:dyDescent="0.35">
      <c r="A11" s="2" t="s">
        <v>0</v>
      </c>
      <c r="B11" s="1" t="s">
        <v>59</v>
      </c>
    </row>
  </sheetData>
  <hyperlinks>
    <hyperlink ref="B6" r:id="rId1" display="https://www.nomisweb.co.uk/query/construct/summary.asp?menuopt=200&amp;subcomp=" xr:uid="{19F0C940-9233-4989-A9A4-243FA1729F8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AE99E-CF1E-4B3A-AC10-ED05DCE9A23E}">
  <dimension ref="A1:AW30"/>
  <sheetViews>
    <sheetView topLeftCell="A3" workbookViewId="0">
      <selection activeCell="A23" activeCellId="1" sqref="A7:XFD8 A23:XFD23"/>
    </sheetView>
  </sheetViews>
  <sheetFormatPr defaultRowHeight="14.5" x14ac:dyDescent="0.35"/>
  <cols>
    <col min="1" max="1" width="32.90625" customWidth="1"/>
    <col min="2" max="49" width="14.1796875" customWidth="1"/>
  </cols>
  <sheetData>
    <row r="1" spans="1:49" ht="15.5" x14ac:dyDescent="0.35">
      <c r="A1" s="10" t="s">
        <v>15</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row>
    <row r="2" spans="1:49" x14ac:dyDescent="0.35">
      <c r="A2" s="11" t="s">
        <v>16</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row>
    <row r="4" spans="1:49" x14ac:dyDescent="0.35">
      <c r="A4" s="12" t="s">
        <v>17</v>
      </c>
      <c r="B4" s="12" t="s">
        <v>18</v>
      </c>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row>
    <row r="5" spans="1:49" x14ac:dyDescent="0.35">
      <c r="A5" s="12" t="s">
        <v>19</v>
      </c>
      <c r="B5" s="12" t="s">
        <v>20</v>
      </c>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row>
    <row r="7" spans="1:49" x14ac:dyDescent="0.35">
      <c r="A7" s="14" t="s">
        <v>21</v>
      </c>
      <c r="B7" s="23" t="s">
        <v>22</v>
      </c>
      <c r="C7" s="24"/>
      <c r="D7" s="24"/>
      <c r="E7" s="24"/>
      <c r="F7" s="23" t="s">
        <v>23</v>
      </c>
      <c r="G7" s="24"/>
      <c r="H7" s="24"/>
      <c r="I7" s="24"/>
      <c r="J7" s="23" t="s">
        <v>24</v>
      </c>
      <c r="K7" s="24"/>
      <c r="L7" s="24"/>
      <c r="M7" s="24"/>
      <c r="N7" s="23" t="s">
        <v>25</v>
      </c>
      <c r="O7" s="24"/>
      <c r="P7" s="24"/>
      <c r="Q7" s="24"/>
      <c r="R7" s="23" t="s">
        <v>26</v>
      </c>
      <c r="S7" s="24"/>
      <c r="T7" s="24"/>
      <c r="U7" s="24"/>
      <c r="V7" s="23" t="s">
        <v>27</v>
      </c>
      <c r="W7" s="24"/>
      <c r="X7" s="24"/>
      <c r="Y7" s="24"/>
      <c r="Z7" s="23" t="s">
        <v>28</v>
      </c>
      <c r="AA7" s="24"/>
      <c r="AB7" s="24"/>
      <c r="AC7" s="24"/>
      <c r="AD7" s="23" t="s">
        <v>29</v>
      </c>
      <c r="AE7" s="24"/>
      <c r="AF7" s="24"/>
      <c r="AG7" s="24"/>
      <c r="AH7" s="23" t="s">
        <v>30</v>
      </c>
      <c r="AI7" s="24"/>
      <c r="AJ7" s="24"/>
      <c r="AK7" s="24"/>
      <c r="AL7" s="23" t="s">
        <v>31</v>
      </c>
      <c r="AM7" s="24"/>
      <c r="AN7" s="24"/>
      <c r="AO7" s="24"/>
      <c r="AP7" s="23" t="s">
        <v>32</v>
      </c>
      <c r="AQ7" s="24"/>
      <c r="AR7" s="24"/>
      <c r="AS7" s="24"/>
      <c r="AT7" s="23" t="s">
        <v>33</v>
      </c>
      <c r="AU7" s="24"/>
      <c r="AV7" s="24"/>
      <c r="AW7" s="24"/>
    </row>
    <row r="8" spans="1:49" x14ac:dyDescent="0.35">
      <c r="A8" s="9"/>
      <c r="B8" s="13" t="s">
        <v>34</v>
      </c>
      <c r="C8" s="13" t="s">
        <v>35</v>
      </c>
      <c r="D8" s="13" t="s">
        <v>36</v>
      </c>
      <c r="E8" s="13" t="s">
        <v>37</v>
      </c>
      <c r="F8" s="13" t="s">
        <v>34</v>
      </c>
      <c r="G8" s="13" t="s">
        <v>35</v>
      </c>
      <c r="H8" s="13" t="s">
        <v>36</v>
      </c>
      <c r="I8" s="13" t="s">
        <v>37</v>
      </c>
      <c r="J8" s="13" t="s">
        <v>34</v>
      </c>
      <c r="K8" s="13" t="s">
        <v>35</v>
      </c>
      <c r="L8" s="13" t="s">
        <v>36</v>
      </c>
      <c r="M8" s="13" t="s">
        <v>37</v>
      </c>
      <c r="N8" s="13" t="s">
        <v>34</v>
      </c>
      <c r="O8" s="13" t="s">
        <v>35</v>
      </c>
      <c r="P8" s="13" t="s">
        <v>36</v>
      </c>
      <c r="Q8" s="13" t="s">
        <v>37</v>
      </c>
      <c r="R8" s="13" t="s">
        <v>34</v>
      </c>
      <c r="S8" s="13" t="s">
        <v>35</v>
      </c>
      <c r="T8" s="13" t="s">
        <v>36</v>
      </c>
      <c r="U8" s="13" t="s">
        <v>37</v>
      </c>
      <c r="V8" s="13" t="s">
        <v>34</v>
      </c>
      <c r="W8" s="13" t="s">
        <v>35</v>
      </c>
      <c r="X8" s="13" t="s">
        <v>36</v>
      </c>
      <c r="Y8" s="13" t="s">
        <v>37</v>
      </c>
      <c r="Z8" s="13" t="s">
        <v>34</v>
      </c>
      <c r="AA8" s="13" t="s">
        <v>35</v>
      </c>
      <c r="AB8" s="13" t="s">
        <v>36</v>
      </c>
      <c r="AC8" s="13" t="s">
        <v>37</v>
      </c>
      <c r="AD8" s="13" t="s">
        <v>34</v>
      </c>
      <c r="AE8" s="13" t="s">
        <v>35</v>
      </c>
      <c r="AF8" s="13" t="s">
        <v>36</v>
      </c>
      <c r="AG8" s="13" t="s">
        <v>37</v>
      </c>
      <c r="AH8" s="13" t="s">
        <v>34</v>
      </c>
      <c r="AI8" s="13" t="s">
        <v>35</v>
      </c>
      <c r="AJ8" s="13" t="s">
        <v>36</v>
      </c>
      <c r="AK8" s="13" t="s">
        <v>37</v>
      </c>
      <c r="AL8" s="13" t="s">
        <v>34</v>
      </c>
      <c r="AM8" s="13" t="s">
        <v>35</v>
      </c>
      <c r="AN8" s="13" t="s">
        <v>36</v>
      </c>
      <c r="AO8" s="13" t="s">
        <v>37</v>
      </c>
      <c r="AP8" s="13" t="s">
        <v>34</v>
      </c>
      <c r="AQ8" s="13" t="s">
        <v>35</v>
      </c>
      <c r="AR8" s="13" t="s">
        <v>36</v>
      </c>
      <c r="AS8" s="13" t="s">
        <v>37</v>
      </c>
      <c r="AT8" s="13" t="s">
        <v>34</v>
      </c>
      <c r="AU8" s="13" t="s">
        <v>35</v>
      </c>
      <c r="AV8" s="13" t="s">
        <v>36</v>
      </c>
      <c r="AW8" s="13" t="s">
        <v>37</v>
      </c>
    </row>
    <row r="9" spans="1:49" x14ac:dyDescent="0.35">
      <c r="A9" s="15" t="s">
        <v>38</v>
      </c>
      <c r="B9" s="16">
        <v>10000</v>
      </c>
      <c r="C9" s="16">
        <v>97500</v>
      </c>
      <c r="D9" s="17">
        <v>10.199999999999999</v>
      </c>
      <c r="E9" s="17">
        <v>3</v>
      </c>
      <c r="F9" s="16">
        <v>26600</v>
      </c>
      <c r="G9" s="16">
        <v>97500</v>
      </c>
      <c r="H9" s="17">
        <v>27.3</v>
      </c>
      <c r="I9" s="17">
        <v>4.4000000000000004</v>
      </c>
      <c r="J9" s="16">
        <v>43700</v>
      </c>
      <c r="K9" s="16">
        <v>97500</v>
      </c>
      <c r="L9" s="17">
        <v>44.8</v>
      </c>
      <c r="M9" s="17">
        <v>4.9000000000000004</v>
      </c>
      <c r="N9" s="16">
        <v>17200</v>
      </c>
      <c r="O9" s="16">
        <v>97500</v>
      </c>
      <c r="P9" s="17">
        <v>17.7</v>
      </c>
      <c r="Q9" s="17">
        <v>3.8</v>
      </c>
      <c r="R9" s="16">
        <v>2800</v>
      </c>
      <c r="S9" s="16">
        <v>45200</v>
      </c>
      <c r="T9" s="17">
        <v>6.2</v>
      </c>
      <c r="U9" s="17">
        <v>3.4</v>
      </c>
      <c r="V9" s="16">
        <v>6800</v>
      </c>
      <c r="W9" s="16">
        <v>45200</v>
      </c>
      <c r="X9" s="17">
        <v>15</v>
      </c>
      <c r="Y9" s="17">
        <v>5.0999999999999996</v>
      </c>
      <c r="Z9" s="16">
        <v>24800</v>
      </c>
      <c r="AA9" s="16">
        <v>45200</v>
      </c>
      <c r="AB9" s="17">
        <v>55</v>
      </c>
      <c r="AC9" s="17">
        <v>7.1</v>
      </c>
      <c r="AD9" s="16">
        <v>10800</v>
      </c>
      <c r="AE9" s="16">
        <v>45200</v>
      </c>
      <c r="AF9" s="17">
        <v>23.9</v>
      </c>
      <c r="AG9" s="17">
        <v>6.1</v>
      </c>
      <c r="AH9" s="16">
        <v>7200</v>
      </c>
      <c r="AI9" s="16">
        <v>52400</v>
      </c>
      <c r="AJ9" s="17">
        <v>13.7</v>
      </c>
      <c r="AK9" s="17">
        <v>4.7</v>
      </c>
      <c r="AL9" s="16">
        <v>19800</v>
      </c>
      <c r="AM9" s="16">
        <v>52400</v>
      </c>
      <c r="AN9" s="17">
        <v>37.9</v>
      </c>
      <c r="AO9" s="17">
        <v>6.6</v>
      </c>
      <c r="AP9" s="16">
        <v>18900</v>
      </c>
      <c r="AQ9" s="16">
        <v>52400</v>
      </c>
      <c r="AR9" s="17">
        <v>36.1</v>
      </c>
      <c r="AS9" s="17">
        <v>6.6</v>
      </c>
      <c r="AT9" s="16">
        <v>6400</v>
      </c>
      <c r="AU9" s="16">
        <v>52400</v>
      </c>
      <c r="AV9" s="17">
        <v>12.3</v>
      </c>
      <c r="AW9" s="17">
        <v>4.5</v>
      </c>
    </row>
    <row r="10" spans="1:49" x14ac:dyDescent="0.35">
      <c r="A10" s="15" t="s">
        <v>39</v>
      </c>
      <c r="B10" s="16">
        <v>8200</v>
      </c>
      <c r="C10" s="16">
        <v>257200</v>
      </c>
      <c r="D10" s="17">
        <v>3.2</v>
      </c>
      <c r="E10" s="17">
        <v>1.6</v>
      </c>
      <c r="F10" s="16">
        <v>73400</v>
      </c>
      <c r="G10" s="16">
        <v>257200</v>
      </c>
      <c r="H10" s="17">
        <v>28.5</v>
      </c>
      <c r="I10" s="17">
        <v>4</v>
      </c>
      <c r="J10" s="16">
        <v>137800</v>
      </c>
      <c r="K10" s="16">
        <v>257200</v>
      </c>
      <c r="L10" s="17">
        <v>53.6</v>
      </c>
      <c r="M10" s="17">
        <v>4.4000000000000004</v>
      </c>
      <c r="N10" s="16">
        <v>37800</v>
      </c>
      <c r="O10" s="16">
        <v>257200</v>
      </c>
      <c r="P10" s="17">
        <v>14.7</v>
      </c>
      <c r="Q10" s="17">
        <v>3.1</v>
      </c>
      <c r="R10" s="16">
        <v>4100</v>
      </c>
      <c r="S10" s="16">
        <v>132900</v>
      </c>
      <c r="T10" s="17">
        <v>3.1</v>
      </c>
      <c r="U10" s="16" t="s">
        <v>40</v>
      </c>
      <c r="V10" s="16">
        <v>25000</v>
      </c>
      <c r="W10" s="16">
        <v>132900</v>
      </c>
      <c r="X10" s="17">
        <v>18.8</v>
      </c>
      <c r="Y10" s="17">
        <v>4.9000000000000004</v>
      </c>
      <c r="Z10" s="16">
        <v>79800</v>
      </c>
      <c r="AA10" s="16">
        <v>132900</v>
      </c>
      <c r="AB10" s="17">
        <v>60.1</v>
      </c>
      <c r="AC10" s="17">
        <v>6.2</v>
      </c>
      <c r="AD10" s="16">
        <v>23900</v>
      </c>
      <c r="AE10" s="16">
        <v>132900</v>
      </c>
      <c r="AF10" s="17">
        <v>18</v>
      </c>
      <c r="AG10" s="17">
        <v>4.8</v>
      </c>
      <c r="AH10" s="16">
        <v>4100</v>
      </c>
      <c r="AI10" s="16">
        <v>124300</v>
      </c>
      <c r="AJ10" s="17">
        <v>3.3</v>
      </c>
      <c r="AK10" s="17">
        <v>2.2000000000000002</v>
      </c>
      <c r="AL10" s="16">
        <v>48400</v>
      </c>
      <c r="AM10" s="16">
        <v>124300</v>
      </c>
      <c r="AN10" s="17">
        <v>38.9</v>
      </c>
      <c r="AO10" s="17">
        <v>6.1</v>
      </c>
      <c r="AP10" s="16">
        <v>57900</v>
      </c>
      <c r="AQ10" s="16">
        <v>124300</v>
      </c>
      <c r="AR10" s="17">
        <v>46.6</v>
      </c>
      <c r="AS10" s="17">
        <v>6.2</v>
      </c>
      <c r="AT10" s="16">
        <v>13900</v>
      </c>
      <c r="AU10" s="16">
        <v>124300</v>
      </c>
      <c r="AV10" s="17">
        <v>11.2</v>
      </c>
      <c r="AW10" s="17">
        <v>3.9</v>
      </c>
    </row>
    <row r="11" spans="1:49" x14ac:dyDescent="0.35">
      <c r="A11" s="15" t="s">
        <v>41</v>
      </c>
      <c r="B11" s="16" t="s">
        <v>42</v>
      </c>
      <c r="C11" s="16">
        <v>61400</v>
      </c>
      <c r="D11" s="16" t="s">
        <v>42</v>
      </c>
      <c r="E11" s="16" t="s">
        <v>42</v>
      </c>
      <c r="F11" s="16">
        <v>19700</v>
      </c>
      <c r="G11" s="16">
        <v>61400</v>
      </c>
      <c r="H11" s="17">
        <v>32.1</v>
      </c>
      <c r="I11" s="17">
        <v>9.1999999999999993</v>
      </c>
      <c r="J11" s="16">
        <v>34500</v>
      </c>
      <c r="K11" s="16">
        <v>61400</v>
      </c>
      <c r="L11" s="17">
        <v>56.2</v>
      </c>
      <c r="M11" s="17">
        <v>9.8000000000000007</v>
      </c>
      <c r="N11" s="16">
        <v>6000</v>
      </c>
      <c r="O11" s="16">
        <v>61400</v>
      </c>
      <c r="P11" s="17">
        <v>9.8000000000000007</v>
      </c>
      <c r="Q11" s="17">
        <v>5.9</v>
      </c>
      <c r="R11" s="16" t="s">
        <v>42</v>
      </c>
      <c r="S11" s="16">
        <v>27900</v>
      </c>
      <c r="T11" s="16" t="s">
        <v>42</v>
      </c>
      <c r="U11" s="16" t="s">
        <v>42</v>
      </c>
      <c r="V11" s="16">
        <v>2800</v>
      </c>
      <c r="W11" s="16">
        <v>27900</v>
      </c>
      <c r="X11" s="17">
        <v>9.9</v>
      </c>
      <c r="Y11" s="16" t="s">
        <v>40</v>
      </c>
      <c r="Z11" s="16">
        <v>19700</v>
      </c>
      <c r="AA11" s="16">
        <v>27900</v>
      </c>
      <c r="AB11" s="17">
        <v>70.7</v>
      </c>
      <c r="AC11" s="17">
        <v>13.3</v>
      </c>
      <c r="AD11" s="16">
        <v>5400</v>
      </c>
      <c r="AE11" s="16">
        <v>27900</v>
      </c>
      <c r="AF11" s="17">
        <v>19.399999999999999</v>
      </c>
      <c r="AG11" s="16" t="s">
        <v>40</v>
      </c>
      <c r="AH11" s="16" t="s">
        <v>42</v>
      </c>
      <c r="AI11" s="16">
        <v>33600</v>
      </c>
      <c r="AJ11" s="16" t="s">
        <v>42</v>
      </c>
      <c r="AK11" s="16" t="s">
        <v>42</v>
      </c>
      <c r="AL11" s="16">
        <v>17000</v>
      </c>
      <c r="AM11" s="16">
        <v>33600</v>
      </c>
      <c r="AN11" s="17">
        <v>50.5</v>
      </c>
      <c r="AO11" s="17">
        <v>13.6</v>
      </c>
      <c r="AP11" s="16">
        <v>14800</v>
      </c>
      <c r="AQ11" s="16">
        <v>33600</v>
      </c>
      <c r="AR11" s="17">
        <v>44.2</v>
      </c>
      <c r="AS11" s="17">
        <v>13.5</v>
      </c>
      <c r="AT11" s="16" t="s">
        <v>42</v>
      </c>
      <c r="AU11" s="16">
        <v>33600</v>
      </c>
      <c r="AV11" s="16" t="s">
        <v>42</v>
      </c>
      <c r="AW11" s="16" t="s">
        <v>42</v>
      </c>
    </row>
    <row r="12" spans="1:49" x14ac:dyDescent="0.35">
      <c r="A12" s="15" t="s">
        <v>43</v>
      </c>
      <c r="B12" s="16">
        <v>3000</v>
      </c>
      <c r="C12" s="16">
        <v>41900</v>
      </c>
      <c r="D12" s="17">
        <v>7.2</v>
      </c>
      <c r="E12" s="16" t="s">
        <v>40</v>
      </c>
      <c r="F12" s="16">
        <v>9200</v>
      </c>
      <c r="G12" s="16">
        <v>41900</v>
      </c>
      <c r="H12" s="17">
        <v>21.9</v>
      </c>
      <c r="I12" s="17">
        <v>8.3000000000000007</v>
      </c>
      <c r="J12" s="16">
        <v>24300</v>
      </c>
      <c r="K12" s="16">
        <v>41900</v>
      </c>
      <c r="L12" s="17">
        <v>57.9</v>
      </c>
      <c r="M12" s="17">
        <v>9.9</v>
      </c>
      <c r="N12" s="16">
        <v>5400</v>
      </c>
      <c r="O12" s="16">
        <v>41900</v>
      </c>
      <c r="P12" s="17">
        <v>13</v>
      </c>
      <c r="Q12" s="17">
        <v>6.8</v>
      </c>
      <c r="R12" s="16">
        <v>1300</v>
      </c>
      <c r="S12" s="16">
        <v>24400</v>
      </c>
      <c r="T12" s="17">
        <v>5.2</v>
      </c>
      <c r="U12" s="16" t="s">
        <v>40</v>
      </c>
      <c r="V12" s="16">
        <v>2500</v>
      </c>
      <c r="W12" s="16">
        <v>24400</v>
      </c>
      <c r="X12" s="17">
        <v>10.199999999999999</v>
      </c>
      <c r="Y12" s="16" t="s">
        <v>40</v>
      </c>
      <c r="Z12" s="16">
        <v>17200</v>
      </c>
      <c r="AA12" s="16">
        <v>24400</v>
      </c>
      <c r="AB12" s="17">
        <v>70.400000000000006</v>
      </c>
      <c r="AC12" s="17">
        <v>12.4</v>
      </c>
      <c r="AD12" s="16">
        <v>3500</v>
      </c>
      <c r="AE12" s="16">
        <v>24400</v>
      </c>
      <c r="AF12" s="17">
        <v>14.2</v>
      </c>
      <c r="AG12" s="16" t="s">
        <v>40</v>
      </c>
      <c r="AH12" s="16">
        <v>1800</v>
      </c>
      <c r="AI12" s="16">
        <v>17500</v>
      </c>
      <c r="AJ12" s="17">
        <v>10.1</v>
      </c>
      <c r="AK12" s="16" t="s">
        <v>40</v>
      </c>
      <c r="AL12" s="16">
        <v>6700</v>
      </c>
      <c r="AM12" s="16">
        <v>17500</v>
      </c>
      <c r="AN12" s="17">
        <v>38.200000000000003</v>
      </c>
      <c r="AO12" s="17">
        <v>14.7</v>
      </c>
      <c r="AP12" s="16">
        <v>7100</v>
      </c>
      <c r="AQ12" s="16">
        <v>17500</v>
      </c>
      <c r="AR12" s="17">
        <v>40.5</v>
      </c>
      <c r="AS12" s="17">
        <v>14.8</v>
      </c>
      <c r="AT12" s="16">
        <v>2000</v>
      </c>
      <c r="AU12" s="16">
        <v>17500</v>
      </c>
      <c r="AV12" s="17">
        <v>11.3</v>
      </c>
      <c r="AW12" s="16" t="s">
        <v>40</v>
      </c>
    </row>
    <row r="13" spans="1:49" x14ac:dyDescent="0.35">
      <c r="A13" s="15" t="s">
        <v>44</v>
      </c>
      <c r="B13" s="16" t="s">
        <v>42</v>
      </c>
      <c r="C13" s="16">
        <v>42800</v>
      </c>
      <c r="D13" s="16" t="s">
        <v>42</v>
      </c>
      <c r="E13" s="16" t="s">
        <v>42</v>
      </c>
      <c r="F13" s="16">
        <v>11100</v>
      </c>
      <c r="G13" s="16">
        <v>42800</v>
      </c>
      <c r="H13" s="17">
        <v>25.9</v>
      </c>
      <c r="I13" s="17">
        <v>10.199999999999999</v>
      </c>
      <c r="J13" s="16">
        <v>23500</v>
      </c>
      <c r="K13" s="16">
        <v>42800</v>
      </c>
      <c r="L13" s="17">
        <v>55.1</v>
      </c>
      <c r="M13" s="17">
        <v>11.6</v>
      </c>
      <c r="N13" s="16">
        <v>7300</v>
      </c>
      <c r="O13" s="16">
        <v>42800</v>
      </c>
      <c r="P13" s="17">
        <v>17.100000000000001</v>
      </c>
      <c r="Q13" s="17">
        <v>8.8000000000000007</v>
      </c>
      <c r="R13" s="16" t="s">
        <v>42</v>
      </c>
      <c r="S13" s="16">
        <v>25500</v>
      </c>
      <c r="T13" s="16" t="s">
        <v>42</v>
      </c>
      <c r="U13" s="16" t="s">
        <v>42</v>
      </c>
      <c r="V13" s="16">
        <v>4600</v>
      </c>
      <c r="W13" s="16">
        <v>25500</v>
      </c>
      <c r="X13" s="17">
        <v>17.8</v>
      </c>
      <c r="Y13" s="16" t="s">
        <v>40</v>
      </c>
      <c r="Z13" s="16">
        <v>15200</v>
      </c>
      <c r="AA13" s="16">
        <v>25500</v>
      </c>
      <c r="AB13" s="17">
        <v>59.8</v>
      </c>
      <c r="AC13" s="17">
        <v>15.2</v>
      </c>
      <c r="AD13" s="16">
        <v>5200</v>
      </c>
      <c r="AE13" s="16">
        <v>25500</v>
      </c>
      <c r="AF13" s="17">
        <v>20.5</v>
      </c>
      <c r="AG13" s="16" t="s">
        <v>40</v>
      </c>
      <c r="AH13" s="16" t="s">
        <v>42</v>
      </c>
      <c r="AI13" s="16">
        <v>17300</v>
      </c>
      <c r="AJ13" s="16" t="s">
        <v>42</v>
      </c>
      <c r="AK13" s="16" t="s">
        <v>42</v>
      </c>
      <c r="AL13" s="16">
        <v>6500</v>
      </c>
      <c r="AM13" s="16">
        <v>17300</v>
      </c>
      <c r="AN13" s="17">
        <v>37.799999999999997</v>
      </c>
      <c r="AO13" s="17">
        <v>17.399999999999999</v>
      </c>
      <c r="AP13" s="16">
        <v>8300</v>
      </c>
      <c r="AQ13" s="16">
        <v>17300</v>
      </c>
      <c r="AR13" s="17">
        <v>48.2</v>
      </c>
      <c r="AS13" s="17">
        <v>17.899999999999999</v>
      </c>
      <c r="AT13" s="16">
        <v>2100</v>
      </c>
      <c r="AU13" s="16">
        <v>17300</v>
      </c>
      <c r="AV13" s="17">
        <v>12</v>
      </c>
      <c r="AW13" s="16" t="s">
        <v>40</v>
      </c>
    </row>
    <row r="14" spans="1:49" x14ac:dyDescent="0.35">
      <c r="A14" s="15" t="s">
        <v>45</v>
      </c>
      <c r="B14" s="16">
        <v>2900</v>
      </c>
      <c r="C14" s="16">
        <v>73500</v>
      </c>
      <c r="D14" s="17">
        <v>3.9</v>
      </c>
      <c r="E14" s="16" t="s">
        <v>40</v>
      </c>
      <c r="F14" s="16">
        <v>19900</v>
      </c>
      <c r="G14" s="16">
        <v>73500</v>
      </c>
      <c r="H14" s="17">
        <v>27.1</v>
      </c>
      <c r="I14" s="17">
        <v>8</v>
      </c>
      <c r="J14" s="16">
        <v>40200</v>
      </c>
      <c r="K14" s="16">
        <v>73500</v>
      </c>
      <c r="L14" s="17">
        <v>54.7</v>
      </c>
      <c r="M14" s="17">
        <v>8.9</v>
      </c>
      <c r="N14" s="16">
        <v>10500</v>
      </c>
      <c r="O14" s="16">
        <v>73500</v>
      </c>
      <c r="P14" s="17">
        <v>14.3</v>
      </c>
      <c r="Q14" s="17">
        <v>6.3</v>
      </c>
      <c r="R14" s="16" t="s">
        <v>42</v>
      </c>
      <c r="S14" s="16">
        <v>38200</v>
      </c>
      <c r="T14" s="16" t="s">
        <v>42</v>
      </c>
      <c r="U14" s="16" t="s">
        <v>42</v>
      </c>
      <c r="V14" s="16">
        <v>5800</v>
      </c>
      <c r="W14" s="16">
        <v>38200</v>
      </c>
      <c r="X14" s="17">
        <v>15.2</v>
      </c>
      <c r="Y14" s="17">
        <v>9.1999999999999993</v>
      </c>
      <c r="Z14" s="16">
        <v>25900</v>
      </c>
      <c r="AA14" s="16">
        <v>38200</v>
      </c>
      <c r="AB14" s="17">
        <v>67.900000000000006</v>
      </c>
      <c r="AC14" s="17">
        <v>11.9</v>
      </c>
      <c r="AD14" s="16">
        <v>6500</v>
      </c>
      <c r="AE14" s="16">
        <v>38200</v>
      </c>
      <c r="AF14" s="17">
        <v>17</v>
      </c>
      <c r="AG14" s="17">
        <v>9.6</v>
      </c>
      <c r="AH14" s="16">
        <v>2900</v>
      </c>
      <c r="AI14" s="16">
        <v>35300</v>
      </c>
      <c r="AJ14" s="17">
        <v>8.1</v>
      </c>
      <c r="AK14" s="16" t="s">
        <v>40</v>
      </c>
      <c r="AL14" s="16">
        <v>14100</v>
      </c>
      <c r="AM14" s="16">
        <v>35300</v>
      </c>
      <c r="AN14" s="17">
        <v>40.1</v>
      </c>
      <c r="AO14" s="17">
        <v>12.5</v>
      </c>
      <c r="AP14" s="16">
        <v>14300</v>
      </c>
      <c r="AQ14" s="16">
        <v>35300</v>
      </c>
      <c r="AR14" s="17">
        <v>40.4</v>
      </c>
      <c r="AS14" s="17">
        <v>12.5</v>
      </c>
      <c r="AT14" s="16">
        <v>4000</v>
      </c>
      <c r="AU14" s="16">
        <v>35300</v>
      </c>
      <c r="AV14" s="17">
        <v>11.4</v>
      </c>
      <c r="AW14" s="16" t="s">
        <v>40</v>
      </c>
    </row>
    <row r="15" spans="1:49" x14ac:dyDescent="0.35">
      <c r="A15" s="15" t="s">
        <v>46</v>
      </c>
      <c r="B15" s="16">
        <v>3300</v>
      </c>
      <c r="C15" s="16">
        <v>104300</v>
      </c>
      <c r="D15" s="17">
        <v>3.2</v>
      </c>
      <c r="E15" s="17">
        <v>1.5</v>
      </c>
      <c r="F15" s="16">
        <v>30400</v>
      </c>
      <c r="G15" s="16">
        <v>104300</v>
      </c>
      <c r="H15" s="17">
        <v>29.2</v>
      </c>
      <c r="I15" s="17">
        <v>3.8</v>
      </c>
      <c r="J15" s="16">
        <v>53300</v>
      </c>
      <c r="K15" s="16">
        <v>104300</v>
      </c>
      <c r="L15" s="17">
        <v>51.1</v>
      </c>
      <c r="M15" s="17">
        <v>4.0999999999999996</v>
      </c>
      <c r="N15" s="16">
        <v>17300</v>
      </c>
      <c r="O15" s="16">
        <v>104300</v>
      </c>
      <c r="P15" s="17">
        <v>16.5</v>
      </c>
      <c r="Q15" s="17">
        <v>3.1</v>
      </c>
      <c r="R15" s="16">
        <v>1100</v>
      </c>
      <c r="S15" s="16">
        <v>55000</v>
      </c>
      <c r="T15" s="17">
        <v>2</v>
      </c>
      <c r="U15" s="16" t="s">
        <v>40</v>
      </c>
      <c r="V15" s="16">
        <v>10200</v>
      </c>
      <c r="W15" s="16">
        <v>55000</v>
      </c>
      <c r="X15" s="17">
        <v>18.5</v>
      </c>
      <c r="Y15" s="17">
        <v>4.5</v>
      </c>
      <c r="Z15" s="16">
        <v>30600</v>
      </c>
      <c r="AA15" s="16">
        <v>55000</v>
      </c>
      <c r="AB15" s="17">
        <v>55.7</v>
      </c>
      <c r="AC15" s="17">
        <v>5.8</v>
      </c>
      <c r="AD15" s="16">
        <v>13000</v>
      </c>
      <c r="AE15" s="16">
        <v>55000</v>
      </c>
      <c r="AF15" s="17">
        <v>23.7</v>
      </c>
      <c r="AG15" s="17">
        <v>4.9000000000000004</v>
      </c>
      <c r="AH15" s="16">
        <v>2200</v>
      </c>
      <c r="AI15" s="16">
        <v>49400</v>
      </c>
      <c r="AJ15" s="17">
        <v>4.4000000000000004</v>
      </c>
      <c r="AK15" s="17">
        <v>2.4</v>
      </c>
      <c r="AL15" s="16">
        <v>20300</v>
      </c>
      <c r="AM15" s="16">
        <v>49400</v>
      </c>
      <c r="AN15" s="17">
        <v>41.1</v>
      </c>
      <c r="AO15" s="17">
        <v>5.8</v>
      </c>
      <c r="AP15" s="16">
        <v>22700</v>
      </c>
      <c r="AQ15" s="16">
        <v>49400</v>
      </c>
      <c r="AR15" s="17">
        <v>46</v>
      </c>
      <c r="AS15" s="17">
        <v>5.9</v>
      </c>
      <c r="AT15" s="16">
        <v>4200</v>
      </c>
      <c r="AU15" s="16">
        <v>49400</v>
      </c>
      <c r="AV15" s="17">
        <v>8.5</v>
      </c>
      <c r="AW15" s="17">
        <v>3.3</v>
      </c>
    </row>
    <row r="16" spans="1:49" x14ac:dyDescent="0.35">
      <c r="A16" s="15" t="s">
        <v>47</v>
      </c>
      <c r="B16" s="16">
        <v>4500</v>
      </c>
      <c r="C16" s="16">
        <v>153100</v>
      </c>
      <c r="D16" s="17">
        <v>2.9</v>
      </c>
      <c r="E16" s="17">
        <v>1.4</v>
      </c>
      <c r="F16" s="16">
        <v>36000</v>
      </c>
      <c r="G16" s="16">
        <v>153100</v>
      </c>
      <c r="H16" s="17">
        <v>23.5</v>
      </c>
      <c r="I16" s="17">
        <v>3.5</v>
      </c>
      <c r="J16" s="16">
        <v>79700</v>
      </c>
      <c r="K16" s="16">
        <v>153100</v>
      </c>
      <c r="L16" s="17">
        <v>52</v>
      </c>
      <c r="M16" s="17">
        <v>4.2</v>
      </c>
      <c r="N16" s="16">
        <v>33000</v>
      </c>
      <c r="O16" s="16">
        <v>153100</v>
      </c>
      <c r="P16" s="17">
        <v>21.6</v>
      </c>
      <c r="Q16" s="17">
        <v>3.4</v>
      </c>
      <c r="R16" s="16">
        <v>1000</v>
      </c>
      <c r="S16" s="16">
        <v>82400</v>
      </c>
      <c r="T16" s="17">
        <v>1.2</v>
      </c>
      <c r="U16" s="16" t="s">
        <v>40</v>
      </c>
      <c r="V16" s="16">
        <v>9400</v>
      </c>
      <c r="W16" s="16">
        <v>82400</v>
      </c>
      <c r="X16" s="17">
        <v>11.4</v>
      </c>
      <c r="Y16" s="17">
        <v>3.7</v>
      </c>
      <c r="Z16" s="16">
        <v>47900</v>
      </c>
      <c r="AA16" s="16">
        <v>82400</v>
      </c>
      <c r="AB16" s="17">
        <v>58.1</v>
      </c>
      <c r="AC16" s="17">
        <v>5.7</v>
      </c>
      <c r="AD16" s="16">
        <v>24100</v>
      </c>
      <c r="AE16" s="16">
        <v>82400</v>
      </c>
      <c r="AF16" s="17">
        <v>29.3</v>
      </c>
      <c r="AG16" s="17">
        <v>5.3</v>
      </c>
      <c r="AH16" s="16">
        <v>3500</v>
      </c>
      <c r="AI16" s="16">
        <v>70700</v>
      </c>
      <c r="AJ16" s="17">
        <v>5</v>
      </c>
      <c r="AK16" s="17">
        <v>2.6</v>
      </c>
      <c r="AL16" s="16">
        <v>26500</v>
      </c>
      <c r="AM16" s="16">
        <v>70700</v>
      </c>
      <c r="AN16" s="17">
        <v>37.5</v>
      </c>
      <c r="AO16" s="17">
        <v>5.8</v>
      </c>
      <c r="AP16" s="16">
        <v>31800</v>
      </c>
      <c r="AQ16" s="16">
        <v>70700</v>
      </c>
      <c r="AR16" s="17">
        <v>45</v>
      </c>
      <c r="AS16" s="17">
        <v>5.9</v>
      </c>
      <c r="AT16" s="16">
        <v>8900</v>
      </c>
      <c r="AU16" s="16">
        <v>70700</v>
      </c>
      <c r="AV16" s="17">
        <v>12.6</v>
      </c>
      <c r="AW16" s="17">
        <v>3.9</v>
      </c>
    </row>
    <row r="17" spans="1:49" x14ac:dyDescent="0.35">
      <c r="A17" s="15" t="s">
        <v>48</v>
      </c>
      <c r="B17" s="16">
        <v>4200</v>
      </c>
      <c r="C17" s="16">
        <v>61900</v>
      </c>
      <c r="D17" s="17">
        <v>6.7</v>
      </c>
      <c r="E17" s="17">
        <v>4.4000000000000004</v>
      </c>
      <c r="F17" s="16">
        <v>20000</v>
      </c>
      <c r="G17" s="16">
        <v>61900</v>
      </c>
      <c r="H17" s="17">
        <v>32.299999999999997</v>
      </c>
      <c r="I17" s="17">
        <v>8.1999999999999993</v>
      </c>
      <c r="J17" s="16">
        <v>24100</v>
      </c>
      <c r="K17" s="16">
        <v>61900</v>
      </c>
      <c r="L17" s="17">
        <v>38.9</v>
      </c>
      <c r="M17" s="17">
        <v>8.5</v>
      </c>
      <c r="N17" s="16">
        <v>13700</v>
      </c>
      <c r="O17" s="16">
        <v>61900</v>
      </c>
      <c r="P17" s="17">
        <v>22.1</v>
      </c>
      <c r="Q17" s="17">
        <v>7.2</v>
      </c>
      <c r="R17" s="16">
        <v>2000</v>
      </c>
      <c r="S17" s="16">
        <v>30000</v>
      </c>
      <c r="T17" s="17">
        <v>6.7</v>
      </c>
      <c r="U17" s="16" t="s">
        <v>40</v>
      </c>
      <c r="V17" s="16">
        <v>5200</v>
      </c>
      <c r="W17" s="16">
        <v>30000</v>
      </c>
      <c r="X17" s="17">
        <v>17.5</v>
      </c>
      <c r="Y17" s="17">
        <v>9.6</v>
      </c>
      <c r="Z17" s="16">
        <v>14300</v>
      </c>
      <c r="AA17" s="16">
        <v>30000</v>
      </c>
      <c r="AB17" s="17">
        <v>47.6</v>
      </c>
      <c r="AC17" s="17">
        <v>12.6</v>
      </c>
      <c r="AD17" s="16">
        <v>8500</v>
      </c>
      <c r="AE17" s="16">
        <v>30000</v>
      </c>
      <c r="AF17" s="17">
        <v>28.2</v>
      </c>
      <c r="AG17" s="17">
        <v>11.4</v>
      </c>
      <c r="AH17" s="16">
        <v>2200</v>
      </c>
      <c r="AI17" s="16">
        <v>31900</v>
      </c>
      <c r="AJ17" s="17">
        <v>6.8</v>
      </c>
      <c r="AK17" s="16" t="s">
        <v>40</v>
      </c>
      <c r="AL17" s="16">
        <v>14800</v>
      </c>
      <c r="AM17" s="16">
        <v>31900</v>
      </c>
      <c r="AN17" s="17">
        <v>46.3</v>
      </c>
      <c r="AO17" s="17">
        <v>12.1</v>
      </c>
      <c r="AP17" s="16">
        <v>9800</v>
      </c>
      <c r="AQ17" s="16">
        <v>31900</v>
      </c>
      <c r="AR17" s="17">
        <v>30.7</v>
      </c>
      <c r="AS17" s="17">
        <v>11.2</v>
      </c>
      <c r="AT17" s="16">
        <v>5200</v>
      </c>
      <c r="AU17" s="16">
        <v>31900</v>
      </c>
      <c r="AV17" s="17">
        <v>16.2</v>
      </c>
      <c r="AW17" s="16" t="s">
        <v>40</v>
      </c>
    </row>
    <row r="18" spans="1:49" x14ac:dyDescent="0.35">
      <c r="A18" s="15" t="s">
        <v>49</v>
      </c>
      <c r="B18" s="16">
        <v>4300</v>
      </c>
      <c r="C18" s="16">
        <v>114600</v>
      </c>
      <c r="D18" s="17">
        <v>3.8</v>
      </c>
      <c r="E18" s="17">
        <v>1.8</v>
      </c>
      <c r="F18" s="16">
        <v>28500</v>
      </c>
      <c r="G18" s="16">
        <v>114600</v>
      </c>
      <c r="H18" s="17">
        <v>24.9</v>
      </c>
      <c r="I18" s="17">
        <v>4.0999999999999996</v>
      </c>
      <c r="J18" s="16">
        <v>58700</v>
      </c>
      <c r="K18" s="16">
        <v>114600</v>
      </c>
      <c r="L18" s="17">
        <v>51.2</v>
      </c>
      <c r="M18" s="17">
        <v>4.7</v>
      </c>
      <c r="N18" s="16">
        <v>23000</v>
      </c>
      <c r="O18" s="16">
        <v>114600</v>
      </c>
      <c r="P18" s="17">
        <v>20.100000000000001</v>
      </c>
      <c r="Q18" s="17">
        <v>3.8</v>
      </c>
      <c r="R18" s="16">
        <v>1800</v>
      </c>
      <c r="S18" s="16">
        <v>63100</v>
      </c>
      <c r="T18" s="17">
        <v>2.8</v>
      </c>
      <c r="U18" s="16" t="s">
        <v>40</v>
      </c>
      <c r="V18" s="16">
        <v>8900</v>
      </c>
      <c r="W18" s="16">
        <v>63100</v>
      </c>
      <c r="X18" s="17">
        <v>14.1</v>
      </c>
      <c r="Y18" s="17">
        <v>4.5999999999999996</v>
      </c>
      <c r="Z18" s="16">
        <v>37600</v>
      </c>
      <c r="AA18" s="16">
        <v>63100</v>
      </c>
      <c r="AB18" s="17">
        <v>59.5</v>
      </c>
      <c r="AC18" s="17">
        <v>6.5</v>
      </c>
      <c r="AD18" s="16">
        <v>14900</v>
      </c>
      <c r="AE18" s="16">
        <v>63100</v>
      </c>
      <c r="AF18" s="17">
        <v>23.6</v>
      </c>
      <c r="AG18" s="17">
        <v>5.6</v>
      </c>
      <c r="AH18" s="16">
        <v>2600</v>
      </c>
      <c r="AI18" s="16">
        <v>51500</v>
      </c>
      <c r="AJ18" s="17">
        <v>5</v>
      </c>
      <c r="AK18" s="17">
        <v>3</v>
      </c>
      <c r="AL18" s="16">
        <v>19600</v>
      </c>
      <c r="AM18" s="16">
        <v>51500</v>
      </c>
      <c r="AN18" s="17">
        <v>38.1</v>
      </c>
      <c r="AO18" s="17">
        <v>6.6</v>
      </c>
      <c r="AP18" s="16">
        <v>21100</v>
      </c>
      <c r="AQ18" s="16">
        <v>51500</v>
      </c>
      <c r="AR18" s="17">
        <v>41</v>
      </c>
      <c r="AS18" s="17">
        <v>6.7</v>
      </c>
      <c r="AT18" s="16">
        <v>8200</v>
      </c>
      <c r="AU18" s="16">
        <v>51500</v>
      </c>
      <c r="AV18" s="17">
        <v>15.9</v>
      </c>
      <c r="AW18" s="17">
        <v>5</v>
      </c>
    </row>
    <row r="19" spans="1:49" x14ac:dyDescent="0.35">
      <c r="A19" s="15" t="s">
        <v>50</v>
      </c>
      <c r="B19" s="16" t="s">
        <v>42</v>
      </c>
      <c r="C19" s="16">
        <v>49600</v>
      </c>
      <c r="D19" s="16" t="s">
        <v>42</v>
      </c>
      <c r="E19" s="16" t="s">
        <v>42</v>
      </c>
      <c r="F19" s="16">
        <v>17900</v>
      </c>
      <c r="G19" s="16">
        <v>49600</v>
      </c>
      <c r="H19" s="17">
        <v>36.200000000000003</v>
      </c>
      <c r="I19" s="17">
        <v>11</v>
      </c>
      <c r="J19" s="16">
        <v>23400</v>
      </c>
      <c r="K19" s="16">
        <v>49600</v>
      </c>
      <c r="L19" s="17">
        <v>47.2</v>
      </c>
      <c r="M19" s="17">
        <v>11.5</v>
      </c>
      <c r="N19" s="16">
        <v>7300</v>
      </c>
      <c r="O19" s="16">
        <v>49600</v>
      </c>
      <c r="P19" s="17">
        <v>14.7</v>
      </c>
      <c r="Q19" s="17">
        <v>8.1</v>
      </c>
      <c r="R19" s="16" t="s">
        <v>42</v>
      </c>
      <c r="S19" s="16">
        <v>23000</v>
      </c>
      <c r="T19" s="16" t="s">
        <v>42</v>
      </c>
      <c r="U19" s="16" t="s">
        <v>42</v>
      </c>
      <c r="V19" s="16">
        <v>3500</v>
      </c>
      <c r="W19" s="16">
        <v>23000</v>
      </c>
      <c r="X19" s="17">
        <v>15.3</v>
      </c>
      <c r="Y19" s="16" t="s">
        <v>40</v>
      </c>
      <c r="Z19" s="16">
        <v>14700</v>
      </c>
      <c r="AA19" s="16">
        <v>23000</v>
      </c>
      <c r="AB19" s="17">
        <v>63.6</v>
      </c>
      <c r="AC19" s="17">
        <v>16.7</v>
      </c>
      <c r="AD19" s="16">
        <v>4900</v>
      </c>
      <c r="AE19" s="16">
        <v>23000</v>
      </c>
      <c r="AF19" s="17">
        <v>21.1</v>
      </c>
      <c r="AG19" s="16" t="s">
        <v>40</v>
      </c>
      <c r="AH19" s="16" t="s">
        <v>42</v>
      </c>
      <c r="AI19" s="16">
        <v>26600</v>
      </c>
      <c r="AJ19" s="16" t="s">
        <v>42</v>
      </c>
      <c r="AK19" s="16" t="s">
        <v>42</v>
      </c>
      <c r="AL19" s="16">
        <v>14400</v>
      </c>
      <c r="AM19" s="16">
        <v>26600</v>
      </c>
      <c r="AN19" s="17">
        <v>54.3</v>
      </c>
      <c r="AO19" s="17">
        <v>15.4</v>
      </c>
      <c r="AP19" s="16">
        <v>8800</v>
      </c>
      <c r="AQ19" s="16">
        <v>26600</v>
      </c>
      <c r="AR19" s="17">
        <v>33</v>
      </c>
      <c r="AS19" s="17">
        <v>14.6</v>
      </c>
      <c r="AT19" s="16">
        <v>2400</v>
      </c>
      <c r="AU19" s="16">
        <v>26600</v>
      </c>
      <c r="AV19" s="17">
        <v>9.1</v>
      </c>
      <c r="AW19" s="16" t="s">
        <v>40</v>
      </c>
    </row>
    <row r="20" spans="1:49" x14ac:dyDescent="0.35">
      <c r="A20" s="15" t="s">
        <v>51</v>
      </c>
      <c r="B20" s="16">
        <v>13400</v>
      </c>
      <c r="C20" s="16">
        <v>262100</v>
      </c>
      <c r="D20" s="17">
        <v>5.0999999999999996</v>
      </c>
      <c r="E20" s="17">
        <v>1.8</v>
      </c>
      <c r="F20" s="16">
        <v>65900</v>
      </c>
      <c r="G20" s="16">
        <v>262100</v>
      </c>
      <c r="H20" s="17">
        <v>25.2</v>
      </c>
      <c r="I20" s="17">
        <v>3.6</v>
      </c>
      <c r="J20" s="16">
        <v>129100</v>
      </c>
      <c r="K20" s="16">
        <v>262100</v>
      </c>
      <c r="L20" s="17">
        <v>49.3</v>
      </c>
      <c r="M20" s="17">
        <v>4.2</v>
      </c>
      <c r="N20" s="16">
        <v>53700</v>
      </c>
      <c r="O20" s="16">
        <v>262100</v>
      </c>
      <c r="P20" s="17">
        <v>20.5</v>
      </c>
      <c r="Q20" s="17">
        <v>3.4</v>
      </c>
      <c r="R20" s="16">
        <v>5000</v>
      </c>
      <c r="S20" s="16">
        <v>137500</v>
      </c>
      <c r="T20" s="17">
        <v>3.6</v>
      </c>
      <c r="U20" s="17">
        <v>2.2000000000000002</v>
      </c>
      <c r="V20" s="16">
        <v>17000</v>
      </c>
      <c r="W20" s="16">
        <v>137500</v>
      </c>
      <c r="X20" s="17">
        <v>12.4</v>
      </c>
      <c r="Y20" s="17">
        <v>3.9</v>
      </c>
      <c r="Z20" s="16">
        <v>77100</v>
      </c>
      <c r="AA20" s="16">
        <v>137500</v>
      </c>
      <c r="AB20" s="17">
        <v>56.1</v>
      </c>
      <c r="AC20" s="17">
        <v>5.8</v>
      </c>
      <c r="AD20" s="16">
        <v>38400</v>
      </c>
      <c r="AE20" s="16">
        <v>137500</v>
      </c>
      <c r="AF20" s="17">
        <v>27.9</v>
      </c>
      <c r="AG20" s="17">
        <v>5.3</v>
      </c>
      <c r="AH20" s="16">
        <v>8400</v>
      </c>
      <c r="AI20" s="16">
        <v>124500</v>
      </c>
      <c r="AJ20" s="17">
        <v>6.8</v>
      </c>
      <c r="AK20" s="17">
        <v>2.9</v>
      </c>
      <c r="AL20" s="16">
        <v>48900</v>
      </c>
      <c r="AM20" s="16">
        <v>124500</v>
      </c>
      <c r="AN20" s="17">
        <v>39.299999999999997</v>
      </c>
      <c r="AO20" s="17">
        <v>5.7</v>
      </c>
      <c r="AP20" s="16">
        <v>52000</v>
      </c>
      <c r="AQ20" s="16">
        <v>124500</v>
      </c>
      <c r="AR20" s="17">
        <v>41.7</v>
      </c>
      <c r="AS20" s="17">
        <v>5.8</v>
      </c>
      <c r="AT20" s="16">
        <v>15300</v>
      </c>
      <c r="AU20" s="16">
        <v>124500</v>
      </c>
      <c r="AV20" s="17">
        <v>12.3</v>
      </c>
      <c r="AW20" s="17">
        <v>3.8</v>
      </c>
    </row>
    <row r="21" spans="1:49" x14ac:dyDescent="0.35">
      <c r="A21" s="15" t="s">
        <v>52</v>
      </c>
      <c r="B21" s="16">
        <v>878800</v>
      </c>
      <c r="C21" s="16">
        <v>27609800</v>
      </c>
      <c r="D21" s="17">
        <v>3.2</v>
      </c>
      <c r="E21" s="17">
        <v>0.1</v>
      </c>
      <c r="F21" s="16">
        <v>7132100</v>
      </c>
      <c r="G21" s="16">
        <v>27609800</v>
      </c>
      <c r="H21" s="17">
        <v>25.8</v>
      </c>
      <c r="I21" s="17">
        <v>0.4</v>
      </c>
      <c r="J21" s="16">
        <v>14369400</v>
      </c>
      <c r="K21" s="16">
        <v>27609800</v>
      </c>
      <c r="L21" s="17">
        <v>52</v>
      </c>
      <c r="M21" s="17">
        <v>0.4</v>
      </c>
      <c r="N21" s="16">
        <v>5229500</v>
      </c>
      <c r="O21" s="16">
        <v>27609800</v>
      </c>
      <c r="P21" s="17">
        <v>18.899999999999999</v>
      </c>
      <c r="Q21" s="17">
        <v>0.3</v>
      </c>
      <c r="R21" s="16">
        <v>314900</v>
      </c>
      <c r="S21" s="16">
        <v>14370400</v>
      </c>
      <c r="T21" s="17">
        <v>2.2000000000000002</v>
      </c>
      <c r="U21" s="17">
        <v>0.2</v>
      </c>
      <c r="V21" s="16">
        <v>2088800</v>
      </c>
      <c r="W21" s="16">
        <v>14370400</v>
      </c>
      <c r="X21" s="17">
        <v>14.5</v>
      </c>
      <c r="Y21" s="17">
        <v>0.4</v>
      </c>
      <c r="Z21" s="16">
        <v>8290900</v>
      </c>
      <c r="AA21" s="16">
        <v>14370400</v>
      </c>
      <c r="AB21" s="17">
        <v>57.7</v>
      </c>
      <c r="AC21" s="17">
        <v>0.6</v>
      </c>
      <c r="AD21" s="16">
        <v>3675800</v>
      </c>
      <c r="AE21" s="16">
        <v>14370400</v>
      </c>
      <c r="AF21" s="17">
        <v>25.6</v>
      </c>
      <c r="AG21" s="17">
        <v>0.5</v>
      </c>
      <c r="AH21" s="16">
        <v>563900</v>
      </c>
      <c r="AI21" s="16">
        <v>13239500</v>
      </c>
      <c r="AJ21" s="17">
        <v>4.3</v>
      </c>
      <c r="AK21" s="17">
        <v>0.2</v>
      </c>
      <c r="AL21" s="16">
        <v>5043300</v>
      </c>
      <c r="AM21" s="16">
        <v>13239500</v>
      </c>
      <c r="AN21" s="17">
        <v>38.1</v>
      </c>
      <c r="AO21" s="17">
        <v>0.6</v>
      </c>
      <c r="AP21" s="16">
        <v>6078500</v>
      </c>
      <c r="AQ21" s="16">
        <v>13239500</v>
      </c>
      <c r="AR21" s="17">
        <v>45.9</v>
      </c>
      <c r="AS21" s="17">
        <v>0.6</v>
      </c>
      <c r="AT21" s="16">
        <v>1553700</v>
      </c>
      <c r="AU21" s="16">
        <v>13239500</v>
      </c>
      <c r="AV21" s="17">
        <v>11.7</v>
      </c>
      <c r="AW21" s="17">
        <v>0.4</v>
      </c>
    </row>
    <row r="22" spans="1:49" x14ac:dyDescent="0.35">
      <c r="A22" s="15" t="s">
        <v>53</v>
      </c>
      <c r="B22" s="16">
        <v>102300</v>
      </c>
      <c r="C22" s="16">
        <v>4727800</v>
      </c>
      <c r="D22" s="17">
        <v>2.2000000000000002</v>
      </c>
      <c r="E22" s="17">
        <v>0.4</v>
      </c>
      <c r="F22" s="16">
        <v>1017400</v>
      </c>
      <c r="G22" s="16">
        <v>4727800</v>
      </c>
      <c r="H22" s="17">
        <v>21.5</v>
      </c>
      <c r="I22" s="17">
        <v>1</v>
      </c>
      <c r="J22" s="16">
        <v>2525500</v>
      </c>
      <c r="K22" s="16">
        <v>4727800</v>
      </c>
      <c r="L22" s="17">
        <v>53.4</v>
      </c>
      <c r="M22" s="17">
        <v>1.2</v>
      </c>
      <c r="N22" s="16">
        <v>1082600</v>
      </c>
      <c r="O22" s="16">
        <v>4727800</v>
      </c>
      <c r="P22" s="17">
        <v>22.9</v>
      </c>
      <c r="Q22" s="17">
        <v>1.1000000000000001</v>
      </c>
      <c r="R22" s="16">
        <v>43700</v>
      </c>
      <c r="S22" s="16">
        <v>2518500</v>
      </c>
      <c r="T22" s="17">
        <v>1.7</v>
      </c>
      <c r="U22" s="17">
        <v>0.5</v>
      </c>
      <c r="V22" s="16">
        <v>359500</v>
      </c>
      <c r="W22" s="16">
        <v>2518500</v>
      </c>
      <c r="X22" s="17">
        <v>14.3</v>
      </c>
      <c r="Y22" s="17">
        <v>1.2</v>
      </c>
      <c r="Z22" s="16">
        <v>1397400</v>
      </c>
      <c r="AA22" s="16">
        <v>2518500</v>
      </c>
      <c r="AB22" s="17">
        <v>55.5</v>
      </c>
      <c r="AC22" s="17">
        <v>1.8</v>
      </c>
      <c r="AD22" s="16">
        <v>717900</v>
      </c>
      <c r="AE22" s="16">
        <v>2518500</v>
      </c>
      <c r="AF22" s="17">
        <v>28.5</v>
      </c>
      <c r="AG22" s="17">
        <v>1.6</v>
      </c>
      <c r="AH22" s="16">
        <v>58500</v>
      </c>
      <c r="AI22" s="16">
        <v>2209300</v>
      </c>
      <c r="AJ22" s="17">
        <v>2.6</v>
      </c>
      <c r="AK22" s="17">
        <v>0.6</v>
      </c>
      <c r="AL22" s="16">
        <v>657900</v>
      </c>
      <c r="AM22" s="16">
        <v>2209300</v>
      </c>
      <c r="AN22" s="17">
        <v>29.8</v>
      </c>
      <c r="AO22" s="17">
        <v>1.6</v>
      </c>
      <c r="AP22" s="16">
        <v>1128200</v>
      </c>
      <c r="AQ22" s="16">
        <v>2209300</v>
      </c>
      <c r="AR22" s="17">
        <v>51.1</v>
      </c>
      <c r="AS22" s="17">
        <v>1.8</v>
      </c>
      <c r="AT22" s="16">
        <v>364700</v>
      </c>
      <c r="AU22" s="16">
        <v>2209300</v>
      </c>
      <c r="AV22" s="17">
        <v>16.5</v>
      </c>
      <c r="AW22" s="17">
        <v>1.3</v>
      </c>
    </row>
    <row r="23" spans="1:49" x14ac:dyDescent="0.35">
      <c r="B23" s="25">
        <f>B21-B22</f>
        <v>776500</v>
      </c>
      <c r="C23" s="25">
        <f t="shared" ref="C23:AW23" si="0">C21-C22</f>
        <v>22882000</v>
      </c>
      <c r="D23" s="25">
        <f>B23/C23*100</f>
        <v>3.3934970719342714</v>
      </c>
      <c r="E23" s="25">
        <f t="shared" si="0"/>
        <v>-0.30000000000000004</v>
      </c>
      <c r="F23" s="25">
        <f t="shared" si="0"/>
        <v>6114700</v>
      </c>
      <c r="G23" s="25">
        <f t="shared" si="0"/>
        <v>22882000</v>
      </c>
      <c r="H23" s="25">
        <f>F23/G23*100</f>
        <v>26.722751507735339</v>
      </c>
      <c r="I23" s="25">
        <f t="shared" si="0"/>
        <v>-0.6</v>
      </c>
      <c r="J23" s="25">
        <f t="shared" si="0"/>
        <v>11843900</v>
      </c>
      <c r="K23" s="25">
        <f t="shared" si="0"/>
        <v>22882000</v>
      </c>
      <c r="L23" s="25">
        <f>J23/K23*100</f>
        <v>51.760772659732545</v>
      </c>
      <c r="M23" s="25">
        <f t="shared" si="0"/>
        <v>-0.79999999999999993</v>
      </c>
      <c r="N23" s="25">
        <f t="shared" si="0"/>
        <v>4146900</v>
      </c>
      <c r="O23" s="25">
        <f t="shared" si="0"/>
        <v>22882000</v>
      </c>
      <c r="P23" s="25">
        <f>N23/O23*100</f>
        <v>18.122978760597849</v>
      </c>
      <c r="Q23" s="25">
        <f t="shared" si="0"/>
        <v>-0.8</v>
      </c>
      <c r="R23" s="25">
        <f t="shared" si="0"/>
        <v>271200</v>
      </c>
      <c r="S23" s="25">
        <f t="shared" si="0"/>
        <v>11851900</v>
      </c>
      <c r="T23" s="25">
        <f>R23/S23*100</f>
        <v>2.2882407040221397</v>
      </c>
      <c r="U23" s="25">
        <f t="shared" si="0"/>
        <v>-0.3</v>
      </c>
      <c r="V23" s="25">
        <f t="shared" si="0"/>
        <v>1729300</v>
      </c>
      <c r="W23" s="25">
        <f t="shared" si="0"/>
        <v>11851900</v>
      </c>
      <c r="X23" s="25">
        <f>V23/W23*100</f>
        <v>14.59090947443026</v>
      </c>
      <c r="Y23" s="25">
        <f t="shared" si="0"/>
        <v>-0.79999999999999993</v>
      </c>
      <c r="Z23" s="25">
        <f t="shared" si="0"/>
        <v>6893500</v>
      </c>
      <c r="AA23" s="25">
        <f t="shared" si="0"/>
        <v>11851900</v>
      </c>
      <c r="AB23" s="25">
        <f>Z23/AA23*100</f>
        <v>58.163669960090793</v>
      </c>
      <c r="AC23" s="25">
        <f t="shared" si="0"/>
        <v>-1.2000000000000002</v>
      </c>
      <c r="AD23" s="25">
        <f t="shared" si="0"/>
        <v>2957900</v>
      </c>
      <c r="AE23" s="25">
        <f t="shared" si="0"/>
        <v>11851900</v>
      </c>
      <c r="AF23" s="25">
        <f>AD23/AE23*100</f>
        <v>24.957179861456812</v>
      </c>
      <c r="AG23" s="25">
        <f t="shared" si="0"/>
        <v>-1.1000000000000001</v>
      </c>
      <c r="AH23" s="25">
        <f t="shared" si="0"/>
        <v>505400</v>
      </c>
      <c r="AI23" s="25">
        <f t="shared" si="0"/>
        <v>11030200</v>
      </c>
      <c r="AJ23" s="25">
        <f>AH23/AI23*100</f>
        <v>4.5819658755054302</v>
      </c>
      <c r="AK23" s="25">
        <f t="shared" si="0"/>
        <v>-0.39999999999999997</v>
      </c>
      <c r="AL23" s="25">
        <f t="shared" si="0"/>
        <v>4385400</v>
      </c>
      <c r="AM23" s="25">
        <f t="shared" si="0"/>
        <v>11030200</v>
      </c>
      <c r="AN23" s="25">
        <f>AL23/AM23*100</f>
        <v>39.758118619789308</v>
      </c>
      <c r="AO23" s="25">
        <f t="shared" si="0"/>
        <v>-1</v>
      </c>
      <c r="AP23" s="25">
        <f t="shared" si="0"/>
        <v>4950300</v>
      </c>
      <c r="AQ23" s="25">
        <f t="shared" si="0"/>
        <v>11030200</v>
      </c>
      <c r="AR23" s="25">
        <f>AP23/AQ23*100</f>
        <v>44.87951261083208</v>
      </c>
      <c r="AS23" s="25">
        <f t="shared" si="0"/>
        <v>-1.2000000000000002</v>
      </c>
      <c r="AT23" s="25">
        <f t="shared" si="0"/>
        <v>1189000</v>
      </c>
      <c r="AU23" s="25">
        <f t="shared" si="0"/>
        <v>11030200</v>
      </c>
      <c r="AV23" s="25">
        <f>AT23/AU23*100</f>
        <v>10.779496291998331</v>
      </c>
      <c r="AW23" s="25">
        <f t="shared" si="0"/>
        <v>-0.9</v>
      </c>
    </row>
    <row r="24" spans="1:49" x14ac:dyDescent="0.35">
      <c r="A24" s="11" t="s">
        <v>54</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row>
    <row r="25" spans="1:49" x14ac:dyDescent="0.35">
      <c r="A25" s="11" t="s">
        <v>55</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row>
    <row r="26" spans="1:49" x14ac:dyDescent="0.35">
      <c r="A26" s="11" t="s">
        <v>56</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row>
    <row r="30" spans="1:49" x14ac:dyDescent="0.35">
      <c r="D30" t="s">
        <v>72</v>
      </c>
    </row>
  </sheetData>
  <mergeCells count="12">
    <mergeCell ref="B7:E7"/>
    <mergeCell ref="F7:I7"/>
    <mergeCell ref="J7:M7"/>
    <mergeCell ref="N7:Q7"/>
    <mergeCell ref="R7:U7"/>
    <mergeCell ref="AP7:AS7"/>
    <mergeCell ref="AT7:AW7"/>
    <mergeCell ref="V7:Y7"/>
    <mergeCell ref="Z7:AC7"/>
    <mergeCell ref="AD7:AG7"/>
    <mergeCell ref="AH7:AK7"/>
    <mergeCell ref="AL7:AO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062BB-B51D-4DE2-8C5E-49856E983A96}">
  <dimension ref="A1:M3"/>
  <sheetViews>
    <sheetView topLeftCell="H1" zoomScaleNormal="100" workbookViewId="0">
      <selection activeCell="A3" sqref="A3:XFD3"/>
    </sheetView>
  </sheetViews>
  <sheetFormatPr defaultRowHeight="14.5" x14ac:dyDescent="0.35"/>
  <cols>
    <col min="1" max="1" width="21.08984375" bestFit="1" customWidth="1"/>
    <col min="2" max="13" width="23.36328125" style="3" customWidth="1"/>
  </cols>
  <sheetData>
    <row r="1" spans="1:13" ht="39" x14ac:dyDescent="0.35">
      <c r="A1" s="14" t="s">
        <v>21</v>
      </c>
      <c r="B1" s="18" t="s">
        <v>22</v>
      </c>
      <c r="C1" s="18" t="s">
        <v>23</v>
      </c>
      <c r="D1" s="18" t="s">
        <v>24</v>
      </c>
      <c r="E1" s="18" t="s">
        <v>25</v>
      </c>
      <c r="F1" s="18" t="s">
        <v>26</v>
      </c>
      <c r="G1" s="18" t="s">
        <v>27</v>
      </c>
      <c r="H1" s="18" t="s">
        <v>28</v>
      </c>
      <c r="I1" s="18" t="s">
        <v>29</v>
      </c>
      <c r="J1" s="18" t="s">
        <v>30</v>
      </c>
      <c r="K1" s="18" t="s">
        <v>31</v>
      </c>
      <c r="L1" s="18" t="s">
        <v>32</v>
      </c>
      <c r="M1" s="18" t="s">
        <v>33</v>
      </c>
    </row>
    <row r="2" spans="1:13" x14ac:dyDescent="0.35">
      <c r="A2" s="19" t="s">
        <v>57</v>
      </c>
      <c r="B2" s="21">
        <v>4.0760663686642928</v>
      </c>
      <c r="C2" s="21">
        <v>27.168724903401774</v>
      </c>
      <c r="D2" s="21">
        <v>50.935676945223122</v>
      </c>
      <c r="E2" s="21">
        <v>17.592241836502765</v>
      </c>
      <c r="F2" s="21">
        <v>2.7879141731134141</v>
      </c>
      <c r="G2" s="21">
        <v>14.844548241132681</v>
      </c>
      <c r="H2" s="21">
        <v>59.086264778864397</v>
      </c>
      <c r="I2" s="21">
        <v>23.222887169756241</v>
      </c>
      <c r="J2" s="21">
        <v>5.4960629921259843</v>
      </c>
      <c r="K2" s="21">
        <v>40.472440944881889</v>
      </c>
      <c r="L2" s="21">
        <v>42.125984251968504</v>
      </c>
      <c r="M2" s="21">
        <v>11.433070866141733</v>
      </c>
    </row>
    <row r="3" spans="1:13" x14ac:dyDescent="0.35">
      <c r="A3" s="19" t="s">
        <v>73</v>
      </c>
      <c r="B3" s="26">
        <v>3.3934970719342714</v>
      </c>
      <c r="C3" s="26">
        <v>26.722751507735339</v>
      </c>
      <c r="D3" s="26">
        <v>51.760772659732545</v>
      </c>
      <c r="E3" s="26">
        <v>18.122978760597849</v>
      </c>
      <c r="F3" s="26">
        <v>2.2882407040221397</v>
      </c>
      <c r="G3" s="26">
        <v>14.59090947443026</v>
      </c>
      <c r="H3" s="26">
        <v>58.163669960090793</v>
      </c>
      <c r="I3" s="26">
        <v>24.957179861456812</v>
      </c>
      <c r="J3" s="26">
        <v>4.5819658755054302</v>
      </c>
      <c r="K3" s="26">
        <v>39.758118619789308</v>
      </c>
      <c r="L3" s="26">
        <v>44.87951261083208</v>
      </c>
      <c r="M3" s="26">
        <v>10.779496291998331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3C747-E686-41DB-ABC9-874F9740E4DA}">
  <dimension ref="A1:D26"/>
  <sheetViews>
    <sheetView tabSelected="1" workbookViewId="0">
      <selection activeCell="A27" sqref="A27:XFD40"/>
    </sheetView>
  </sheetViews>
  <sheetFormatPr defaultRowHeight="14.5" x14ac:dyDescent="0.35"/>
  <cols>
    <col min="1" max="1" width="21.08984375" bestFit="1" customWidth="1"/>
    <col min="2" max="2" width="23" bestFit="1" customWidth="1"/>
    <col min="3" max="4" width="20.36328125" bestFit="1" customWidth="1"/>
    <col min="5" max="7" width="23.54296875" bestFit="1" customWidth="1"/>
    <col min="8" max="8" width="24.7265625" bestFit="1" customWidth="1"/>
    <col min="9" max="11" width="25.26953125" bestFit="1" customWidth="1"/>
    <col min="12" max="12" width="25.81640625" bestFit="1" customWidth="1"/>
  </cols>
  <sheetData>
    <row r="1" spans="1:4" x14ac:dyDescent="0.35">
      <c r="A1" t="s">
        <v>21</v>
      </c>
      <c r="B1" t="s">
        <v>66</v>
      </c>
      <c r="C1" t="s">
        <v>61</v>
      </c>
      <c r="D1" t="s">
        <v>68</v>
      </c>
    </row>
    <row r="2" spans="1:4" x14ac:dyDescent="0.35">
      <c r="A2" t="s">
        <v>74</v>
      </c>
      <c r="B2" t="s">
        <v>65</v>
      </c>
      <c r="C2" t="s">
        <v>63</v>
      </c>
      <c r="D2" s="26">
        <v>3.3934970719342714</v>
      </c>
    </row>
    <row r="3" spans="1:4" x14ac:dyDescent="0.35">
      <c r="A3" t="s">
        <v>74</v>
      </c>
      <c r="B3" t="s">
        <v>65</v>
      </c>
      <c r="C3" t="s">
        <v>62</v>
      </c>
      <c r="D3" s="26">
        <v>26.722751507735339</v>
      </c>
    </row>
    <row r="4" spans="1:4" x14ac:dyDescent="0.35">
      <c r="A4" t="s">
        <v>74</v>
      </c>
      <c r="B4" t="s">
        <v>65</v>
      </c>
      <c r="C4" t="s">
        <v>64</v>
      </c>
      <c r="D4" s="26">
        <v>51.760772659732545</v>
      </c>
    </row>
    <row r="5" spans="1:4" x14ac:dyDescent="0.35">
      <c r="A5" t="s">
        <v>74</v>
      </c>
      <c r="B5" t="s">
        <v>65</v>
      </c>
      <c r="C5" t="s">
        <v>67</v>
      </c>
      <c r="D5" s="26">
        <v>18.122978760597849</v>
      </c>
    </row>
    <row r="6" spans="1:4" x14ac:dyDescent="0.35">
      <c r="A6" t="s">
        <v>74</v>
      </c>
      <c r="B6" t="s">
        <v>69</v>
      </c>
      <c r="C6" t="s">
        <v>63</v>
      </c>
      <c r="D6" s="26">
        <v>2.2882407040221397</v>
      </c>
    </row>
    <row r="7" spans="1:4" x14ac:dyDescent="0.35">
      <c r="A7" t="s">
        <v>74</v>
      </c>
      <c r="B7" t="s">
        <v>69</v>
      </c>
      <c r="C7" t="s">
        <v>62</v>
      </c>
      <c r="D7" s="26">
        <v>14.59090947443026</v>
      </c>
    </row>
    <row r="8" spans="1:4" x14ac:dyDescent="0.35">
      <c r="A8" t="s">
        <v>74</v>
      </c>
      <c r="B8" t="s">
        <v>69</v>
      </c>
      <c r="C8" t="s">
        <v>64</v>
      </c>
      <c r="D8" s="26">
        <v>58.163669960090793</v>
      </c>
    </row>
    <row r="9" spans="1:4" x14ac:dyDescent="0.35">
      <c r="A9" t="s">
        <v>74</v>
      </c>
      <c r="B9" t="s">
        <v>69</v>
      </c>
      <c r="C9" t="s">
        <v>67</v>
      </c>
      <c r="D9" s="26">
        <v>24.957179861456812</v>
      </c>
    </row>
    <row r="10" spans="1:4" x14ac:dyDescent="0.35">
      <c r="A10" t="s">
        <v>74</v>
      </c>
      <c r="B10" t="s">
        <v>70</v>
      </c>
      <c r="C10" t="s">
        <v>63</v>
      </c>
      <c r="D10" s="26">
        <v>4.5819658755054302</v>
      </c>
    </row>
    <row r="11" spans="1:4" x14ac:dyDescent="0.35">
      <c r="A11" t="s">
        <v>74</v>
      </c>
      <c r="B11" t="s">
        <v>70</v>
      </c>
      <c r="C11" t="s">
        <v>62</v>
      </c>
      <c r="D11" s="26">
        <v>39.758118619789308</v>
      </c>
    </row>
    <row r="12" spans="1:4" x14ac:dyDescent="0.35">
      <c r="A12" t="s">
        <v>74</v>
      </c>
      <c r="B12" t="s">
        <v>70</v>
      </c>
      <c r="C12" t="s">
        <v>64</v>
      </c>
      <c r="D12" s="26">
        <v>44.87951261083208</v>
      </c>
    </row>
    <row r="13" spans="1:4" x14ac:dyDescent="0.35">
      <c r="A13" t="s">
        <v>74</v>
      </c>
      <c r="B13" t="s">
        <v>70</v>
      </c>
      <c r="C13" t="s">
        <v>67</v>
      </c>
      <c r="D13" s="26">
        <v>10.779496291998331</v>
      </c>
    </row>
    <row r="14" spans="1:4" x14ac:dyDescent="0.35">
      <c r="A14" s="22" t="s">
        <v>60</v>
      </c>
    </row>
    <row r="15" spans="1:4" x14ac:dyDescent="0.35">
      <c r="A15" t="s">
        <v>57</v>
      </c>
      <c r="B15" t="s">
        <v>65</v>
      </c>
      <c r="C15" t="s">
        <v>63</v>
      </c>
      <c r="D15" s="20">
        <v>4.0760663686642928</v>
      </c>
    </row>
    <row r="16" spans="1:4" x14ac:dyDescent="0.35">
      <c r="A16" t="s">
        <v>57</v>
      </c>
      <c r="B16" t="s">
        <v>65</v>
      </c>
      <c r="C16" t="s">
        <v>62</v>
      </c>
      <c r="D16" s="20">
        <v>27.168724903401774</v>
      </c>
    </row>
    <row r="17" spans="1:4" x14ac:dyDescent="0.35">
      <c r="A17" t="s">
        <v>57</v>
      </c>
      <c r="B17" t="s">
        <v>65</v>
      </c>
      <c r="C17" t="s">
        <v>64</v>
      </c>
      <c r="D17" s="20">
        <v>50.935676945223122</v>
      </c>
    </row>
    <row r="18" spans="1:4" x14ac:dyDescent="0.35">
      <c r="A18" t="s">
        <v>57</v>
      </c>
      <c r="B18" t="s">
        <v>65</v>
      </c>
      <c r="C18" t="s">
        <v>67</v>
      </c>
      <c r="D18" s="20">
        <v>17.592241836502765</v>
      </c>
    </row>
    <row r="19" spans="1:4" x14ac:dyDescent="0.35">
      <c r="A19" t="s">
        <v>57</v>
      </c>
      <c r="B19" t="s">
        <v>69</v>
      </c>
      <c r="C19" t="s">
        <v>63</v>
      </c>
      <c r="D19" s="20">
        <v>2.7879141731134141</v>
      </c>
    </row>
    <row r="20" spans="1:4" x14ac:dyDescent="0.35">
      <c r="A20" t="s">
        <v>57</v>
      </c>
      <c r="B20" t="s">
        <v>69</v>
      </c>
      <c r="C20" t="s">
        <v>62</v>
      </c>
      <c r="D20" s="20">
        <v>14.844548241132681</v>
      </c>
    </row>
    <row r="21" spans="1:4" x14ac:dyDescent="0.35">
      <c r="A21" t="s">
        <v>57</v>
      </c>
      <c r="B21" t="s">
        <v>69</v>
      </c>
      <c r="C21" t="s">
        <v>64</v>
      </c>
      <c r="D21" s="20">
        <v>59.086264778864397</v>
      </c>
    </row>
    <row r="22" spans="1:4" x14ac:dyDescent="0.35">
      <c r="A22" t="s">
        <v>57</v>
      </c>
      <c r="B22" t="s">
        <v>69</v>
      </c>
      <c r="C22" t="s">
        <v>67</v>
      </c>
      <c r="D22" s="20">
        <v>23.222887169756241</v>
      </c>
    </row>
    <row r="23" spans="1:4" x14ac:dyDescent="0.35">
      <c r="A23" t="s">
        <v>57</v>
      </c>
      <c r="B23" t="s">
        <v>70</v>
      </c>
      <c r="C23" t="s">
        <v>63</v>
      </c>
      <c r="D23" s="20">
        <v>5.4960629921259843</v>
      </c>
    </row>
    <row r="24" spans="1:4" x14ac:dyDescent="0.35">
      <c r="A24" t="s">
        <v>57</v>
      </c>
      <c r="B24" t="s">
        <v>70</v>
      </c>
      <c r="C24" t="s">
        <v>62</v>
      </c>
      <c r="D24" s="20">
        <v>40.472440944881889</v>
      </c>
    </row>
    <row r="25" spans="1:4" x14ac:dyDescent="0.35">
      <c r="A25" t="s">
        <v>57</v>
      </c>
      <c r="B25" t="s">
        <v>70</v>
      </c>
      <c r="C25" t="s">
        <v>64</v>
      </c>
      <c r="D25" s="20">
        <v>42.125984251968504</v>
      </c>
    </row>
    <row r="26" spans="1:4" x14ac:dyDescent="0.35">
      <c r="A26" t="s">
        <v>57</v>
      </c>
      <c r="B26" t="s">
        <v>70</v>
      </c>
      <c r="C26" t="s">
        <v>67</v>
      </c>
      <c r="D26" s="20">
        <v>11.433070866141733</v>
      </c>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Data</vt:lpstr>
      <vt:lpstr>Analysis</vt:lpstr>
      <vt:lpstr>Visual</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2026-04-10T08:54:28Z</dcterms:created>
  <dcterms:modified xsi:type="dcterms:W3CDTF">2026-04-20T15:53:41Z</dcterms:modified>
</cp:coreProperties>
</file>