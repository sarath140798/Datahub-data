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k3626\Downloads\"/>
    </mc:Choice>
  </mc:AlternateContent>
  <xr:revisionPtr revIDLastSave="0" documentId="13_ncr:1_{02377450-65F2-4DD0-90A3-64AC23FDEA68}"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 l="1"/>
  <c r="A19" i="2"/>
  <c r="A3" i="2"/>
  <c r="A4" i="2"/>
  <c r="A5" i="2"/>
  <c r="A6" i="2"/>
  <c r="A7" i="2"/>
  <c r="A8" i="2"/>
  <c r="A9" i="2"/>
  <c r="A10" i="2"/>
  <c r="A11" i="2"/>
  <c r="A12" i="2"/>
  <c r="A13" i="2"/>
  <c r="A14" i="2"/>
  <c r="A15" i="2"/>
  <c r="A16" i="2"/>
  <c r="A17" i="2"/>
  <c r="A18" i="2"/>
  <c r="A2" i="2"/>
</calcChain>
</file>

<file path=xl/sharedStrings.xml><?xml version="1.0" encoding="utf-8"?>
<sst xmlns="http://schemas.openxmlformats.org/spreadsheetml/2006/main" count="104" uniqueCount="55">
  <si>
    <t>Business Register and Employment Survey : open access</t>
  </si>
  <si>
    <t>ONS Crown Copyright Reserved [from Nomis on 10 April 2026]</t>
  </si>
  <si>
    <t>date</t>
  </si>
  <si>
    <t>employment status</t>
  </si>
  <si>
    <t>Employment</t>
  </si>
  <si>
    <t>measure</t>
  </si>
  <si>
    <t>Count</t>
  </si>
  <si>
    <t>User Defined Geography:England</t>
  </si>
  <si>
    <t>Flags</t>
  </si>
  <si>
    <t>User Defined Geography:England excl. London</t>
  </si>
  <si>
    <t>User Defined Geography:Greater West of England</t>
  </si>
  <si>
    <t>Industry</t>
  </si>
  <si>
    <t>number</t>
  </si>
  <si>
    <t>1 : Agriculture, forestry &amp; fishing (A)</t>
  </si>
  <si>
    <t>2 : Mining, quarrying &amp; utilities (B,D and E)</t>
  </si>
  <si>
    <t>3 : Manufacturing (C)</t>
  </si>
  <si>
    <t>4 : Construction (F)</t>
  </si>
  <si>
    <t>5 : Motor trades (Part G)</t>
  </si>
  <si>
    <t>6 : Wholesale (Part G)</t>
  </si>
  <si>
    <t>7 : Retail (Part G)</t>
  </si>
  <si>
    <t>8 : Transport &amp; storage (inc postal) (H)</t>
  </si>
  <si>
    <t>9 : Accommodation &amp; food services (I)</t>
  </si>
  <si>
    <t>10 : Information &amp; communication (J)</t>
  </si>
  <si>
    <t>11 : Financial &amp; insurance (K)</t>
  </si>
  <si>
    <t>12 : Property (L)</t>
  </si>
  <si>
    <t>13 : Professional, scientific &amp; technical (M)</t>
  </si>
  <si>
    <t>14 : Business administration &amp; support services (N)</t>
  </si>
  <si>
    <t>15 : Public administration &amp; defence (O)</t>
  </si>
  <si>
    <t>16 : Education (P)</t>
  </si>
  <si>
    <t>17 : Health (Q)</t>
  </si>
  <si>
    <t>R : Arts, entertainment and recreation</t>
  </si>
  <si>
    <t>S : Other service activities</t>
  </si>
  <si>
    <t>T : Activities of households as employers;undifferentiated goods-and services-producing activities of households for own use</t>
  </si>
  <si>
    <t>U : Activities of extraterritorial organisations and bodies</t>
  </si>
  <si>
    <t>The level of rounding applied varies by estimate. Please see article for further information on how rounding is applied https://www.nomisweb.co.uk/articles/1103.aspx.</t>
  </si>
  <si>
    <t>ONS have identified a quality issue resulting from geographical misreporting that affects output for the years 2015 to 2024. While the main headline employment estimates at national and regional levels remain unaffected, the employment estimates for the local authorities of Hillingdon and Hounslow, and certain areas within them, are compromised and thus should be used with caution. In line with our BRES revision policy, ONS will revise the provisional 2024 tables as part of the annual update in October 2026. Note that earlier years will not be revised, as BRES provides point‑in‑time estimates and is not designed for time‑series analysis.</t>
  </si>
  <si>
    <t>Industry percentage</t>
  </si>
  <si>
    <t>England</t>
  </si>
  <si>
    <t>England excl. London</t>
  </si>
  <si>
    <t>Greater West of England</t>
  </si>
  <si>
    <t>Dataset</t>
  </si>
  <si>
    <t>Business Register and Employment Survey : open access ( ONS via NOMIS )</t>
  </si>
  <si>
    <t>Tables used</t>
  </si>
  <si>
    <t>Nomis query (custom table): Business Register and Employment Survey (BRES) – open access; employment by industry (SIC 2007 broad industry groups, sections A–U)</t>
  </si>
  <si>
    <t>Publication date</t>
  </si>
  <si>
    <t>Link</t>
  </si>
  <si>
    <t>Nomis - Query Tool - Business Register and Employment Survey : open access</t>
  </si>
  <si>
    <t>Next update</t>
  </si>
  <si>
    <t>Autumn 2026 (provisional)</t>
  </si>
  <si>
    <t>Created date</t>
  </si>
  <si>
    <t>Last updated</t>
  </si>
  <si>
    <t>Geography used for analysis</t>
  </si>
  <si>
    <t>Greater West of England, aggregating Bath and North East Somerset, Bristol, Gloucestershire, North Somerset, South Gloucestershire, Swindon and Wiltshire</t>
  </si>
  <si>
    <t>Data information</t>
  </si>
  <si>
    <t>Employment counts from the Business Register and Employment Survey (BRES), covering employees in VAT and/or PAYE registered enterprises. Industries are grouped using the UK Standard Industrial Classification (SIC 2007) broad industry groups (sections A to U). For the "Arts, entertainment, recreation &amp; other services" category, SIC sections R (Arts, entertainment and recreation) and S (Other service activities) are presented separately.
Estimates include total employment, comprising employees (full-time and part-time) and working owners. Industry percentages represent the share of total employment within each geography.
Figures are rounded to the nearest 100, so totals may not sum exactly. Estimates are point-in-time and are not suitable for time series analysis.
ONS have identified a quality issue affecting geographical allocation for some local areas for the years 2015 to 2024. Estimates for affected areas should be interpreted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</si>
</sst>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5" x14ac:knownFonts="1">
    <font>
      <sz val="11"/>
      <color indexed="8"/>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2" fillId="2" borderId="0"/>
    <xf numFmtId="0" fontId="14" fillId="2" borderId="0" applyNumberFormat="0" applyFill="0" applyBorder="0" applyAlignment="0" applyProtection="0"/>
  </cellStyleXfs>
  <cellXfs count="20">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NumberFormat="1" applyFont="1" applyAlignment="1">
      <alignment horizontal="left"/>
    </xf>
    <xf numFmtId="0" fontId="8" fillId="0" borderId="0" xfId="0" applyFont="1"/>
    <xf numFmtId="3" fontId="9" fillId="0" borderId="0" xfId="0" applyNumberFormat="1" applyFont="1" applyAlignment="1">
      <alignment horizontal="right"/>
    </xf>
    <xf numFmtId="165" fontId="10" fillId="0" borderId="0" xfId="0" applyNumberFormat="1" applyFont="1" applyAlignment="1">
      <alignment horizontal="right"/>
    </xf>
    <xf numFmtId="0" fontId="11" fillId="0" borderId="0" xfId="0" applyFont="1"/>
    <xf numFmtId="0" fontId="4" fillId="0" borderId="0" xfId="0" applyFont="1" applyAlignment="1">
      <alignment horizontal="center" vertical="center" wrapText="1"/>
    </xf>
    <xf numFmtId="0" fontId="13" fillId="2" borderId="0" xfId="1" applyFont="1" applyAlignment="1">
      <alignment horizontal="left" wrapText="1"/>
    </xf>
    <xf numFmtId="0" fontId="12" fillId="2" borderId="0" xfId="1" applyAlignment="1">
      <alignment horizontal="left"/>
    </xf>
    <xf numFmtId="0" fontId="12" fillId="2" borderId="0" xfId="1"/>
    <xf numFmtId="0" fontId="12" fillId="2" borderId="0" xfId="1" applyAlignment="1">
      <alignment wrapText="1"/>
    </xf>
    <xf numFmtId="14" fontId="12" fillId="2" borderId="0" xfId="1" applyNumberFormat="1" applyAlignment="1">
      <alignment horizontal="left"/>
    </xf>
    <xf numFmtId="0" fontId="14" fillId="2" borderId="0" xfId="2"/>
    <xf numFmtId="17" fontId="12" fillId="2" borderId="0" xfId="1" applyNumberFormat="1" applyAlignment="1">
      <alignment horizontal="left"/>
    </xf>
    <xf numFmtId="0" fontId="12" fillId="2" borderId="0" xfId="1" applyAlignment="1">
      <alignment horizontal="left" wrapText="1"/>
    </xf>
  </cellXfs>
  <cellStyles count="3">
    <cellStyle name="Hyperlink 2" xfId="2" xr:uid="{560412E3-B2C7-41B1-9314-4441C8A5319B}"/>
    <cellStyle name="Normal" xfId="0" builtinId="0"/>
    <cellStyle name="Normal 2" xfId="1" xr:uid="{023A10D9-3984-424B-8C33-3D157BF785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EB95-F077-4DCD-AA39-5284DC9172F0}">
  <dimension ref="A1:B9"/>
  <sheetViews>
    <sheetView tabSelected="1" workbookViewId="0">
      <selection activeCell="E9" sqref="E9"/>
    </sheetView>
  </sheetViews>
  <sheetFormatPr defaultRowHeight="14.5" x14ac:dyDescent="0.35"/>
  <cols>
    <col min="1" max="1" width="25.08984375" style="14" bestFit="1" customWidth="1"/>
    <col min="2" max="2" width="81.54296875" style="14" customWidth="1"/>
    <col min="3" max="16384" width="8.7265625" style="14"/>
  </cols>
  <sheetData>
    <row r="1" spans="1:2" x14ac:dyDescent="0.35">
      <c r="A1" s="12" t="s">
        <v>40</v>
      </c>
      <c r="B1" s="13" t="s">
        <v>41</v>
      </c>
    </row>
    <row r="2" spans="1:2" ht="29" x14ac:dyDescent="0.35">
      <c r="A2" s="12" t="s">
        <v>42</v>
      </c>
      <c r="B2" s="15" t="s">
        <v>43</v>
      </c>
    </row>
    <row r="3" spans="1:2" x14ac:dyDescent="0.35">
      <c r="A3" s="12" t="s">
        <v>44</v>
      </c>
      <c r="B3" s="16">
        <v>45958</v>
      </c>
    </row>
    <row r="4" spans="1:2" x14ac:dyDescent="0.35">
      <c r="A4" s="12" t="s">
        <v>45</v>
      </c>
      <c r="B4" s="17" t="s">
        <v>46</v>
      </c>
    </row>
    <row r="5" spans="1:2" x14ac:dyDescent="0.35">
      <c r="A5" s="12" t="s">
        <v>47</v>
      </c>
      <c r="B5" s="18" t="s">
        <v>48</v>
      </c>
    </row>
    <row r="6" spans="1:2" x14ac:dyDescent="0.35">
      <c r="A6" s="12" t="s">
        <v>49</v>
      </c>
      <c r="B6" s="16">
        <v>46121</v>
      </c>
    </row>
    <row r="7" spans="1:2" x14ac:dyDescent="0.35">
      <c r="A7" s="12" t="s">
        <v>50</v>
      </c>
      <c r="B7" s="16">
        <v>46121</v>
      </c>
    </row>
    <row r="8" spans="1:2" ht="29" x14ac:dyDescent="0.35">
      <c r="A8" s="12" t="s">
        <v>51</v>
      </c>
      <c r="B8" s="15" t="s">
        <v>52</v>
      </c>
    </row>
    <row r="9" spans="1:2" ht="216" customHeight="1" x14ac:dyDescent="0.35">
      <c r="A9" s="12" t="s">
        <v>53</v>
      </c>
      <c r="B9" s="19" t="s">
        <v>54</v>
      </c>
    </row>
  </sheetData>
  <hyperlinks>
    <hyperlink ref="B4" r:id="rId1" display="https://www.nomisweb.co.uk/query/construct/summary.asp?mode=construct&amp;version=0&amp;dataset=189" xr:uid="{00AA16DF-F4B1-49EB-A9CE-1CD576A9E2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
  <sheetViews>
    <sheetView topLeftCell="A22" workbookViewId="0">
      <selection activeCell="G66" sqref="A1:G66"/>
    </sheetView>
  </sheetViews>
  <sheetFormatPr defaultRowHeight="14.5" x14ac:dyDescent="0.35"/>
  <cols>
    <col min="1" max="1" width="25" customWidth="1" collapsed="1"/>
    <col min="2" max="2" width="14" customWidth="1" collapsed="1"/>
    <col min="3" max="3" width="5" customWidth="1" collapsed="1"/>
    <col min="4" max="4" width="14" customWidth="1" collapsed="1"/>
    <col min="5" max="5" width="5" customWidth="1" collapsed="1"/>
    <col min="6" max="6" width="14" customWidth="1" collapsed="1"/>
    <col min="7" max="7" width="5" customWidth="1" collapsed="1"/>
  </cols>
  <sheetData>
    <row r="1" spans="1:7" ht="15.5" x14ac:dyDescent="0.35">
      <c r="A1" s="1" t="s">
        <v>0</v>
      </c>
    </row>
    <row r="2" spans="1:7" x14ac:dyDescent="0.35">
      <c r="A2" s="2" t="s">
        <v>1</v>
      </c>
    </row>
    <row r="4" spans="1:7" x14ac:dyDescent="0.35">
      <c r="A4" s="3" t="s">
        <v>2</v>
      </c>
      <c r="B4" s="3">
        <v>2024</v>
      </c>
    </row>
    <row r="5" spans="1:7" x14ac:dyDescent="0.35">
      <c r="A5" s="3" t="s">
        <v>3</v>
      </c>
      <c r="B5" s="3" t="s">
        <v>4</v>
      </c>
    </row>
    <row r="6" spans="1:7" x14ac:dyDescent="0.35">
      <c r="A6" s="3" t="s">
        <v>5</v>
      </c>
      <c r="B6" s="3" t="s">
        <v>6</v>
      </c>
    </row>
    <row r="8" spans="1:7" ht="39" customHeight="1" x14ac:dyDescent="0.35">
      <c r="A8" s="5" t="s">
        <v>11</v>
      </c>
      <c r="B8" s="11" t="s">
        <v>7</v>
      </c>
      <c r="C8" s="11" t="s">
        <v>8</v>
      </c>
      <c r="D8" s="11" t="s">
        <v>9</v>
      </c>
      <c r="E8" s="11" t="s">
        <v>8</v>
      </c>
      <c r="F8" s="11" t="s">
        <v>10</v>
      </c>
      <c r="G8" s="11" t="s">
        <v>8</v>
      </c>
    </row>
    <row r="9" spans="1:7" ht="26" customHeight="1" x14ac:dyDescent="0.35">
      <c r="B9" s="4" t="s">
        <v>12</v>
      </c>
      <c r="C9" s="4" t="s">
        <v>8</v>
      </c>
      <c r="D9" s="4" t="s">
        <v>12</v>
      </c>
      <c r="E9" s="4" t="s">
        <v>8</v>
      </c>
      <c r="F9" s="4" t="s">
        <v>12</v>
      </c>
      <c r="G9" s="4" t="s">
        <v>8</v>
      </c>
    </row>
    <row r="10" spans="1:7" x14ac:dyDescent="0.35">
      <c r="A10" s="6" t="s">
        <v>13</v>
      </c>
      <c r="B10" s="8">
        <v>332000</v>
      </c>
      <c r="C10" s="7"/>
      <c r="D10" s="8">
        <v>330000</v>
      </c>
      <c r="E10" s="7"/>
      <c r="F10" s="8">
        <v>19000</v>
      </c>
      <c r="G10" s="7"/>
    </row>
    <row r="11" spans="1:7" x14ac:dyDescent="0.35">
      <c r="A11" s="6" t="s">
        <v>14</v>
      </c>
      <c r="B11" s="8">
        <v>317000</v>
      </c>
      <c r="C11" s="7"/>
      <c r="D11" s="8">
        <v>282000</v>
      </c>
      <c r="E11" s="7"/>
      <c r="F11" s="8">
        <v>20000</v>
      </c>
      <c r="G11" s="7"/>
    </row>
    <row r="12" spans="1:7" x14ac:dyDescent="0.35">
      <c r="A12" s="6" t="s">
        <v>15</v>
      </c>
      <c r="B12" s="8">
        <v>1989000</v>
      </c>
      <c r="C12" s="7"/>
      <c r="D12" s="8">
        <v>1875000</v>
      </c>
      <c r="E12" s="7"/>
      <c r="F12" s="8">
        <v>99000</v>
      </c>
      <c r="G12" s="7"/>
    </row>
    <row r="13" spans="1:7" x14ac:dyDescent="0.35">
      <c r="A13" s="6" t="s">
        <v>16</v>
      </c>
      <c r="B13" s="8">
        <v>1428000</v>
      </c>
      <c r="C13" s="7"/>
      <c r="D13" s="8">
        <v>1222000</v>
      </c>
      <c r="E13" s="7"/>
      <c r="F13" s="8">
        <v>63000</v>
      </c>
      <c r="G13" s="7"/>
    </row>
    <row r="14" spans="1:7" x14ac:dyDescent="0.35">
      <c r="A14" s="6" t="s">
        <v>17</v>
      </c>
      <c r="B14" s="8">
        <v>515000</v>
      </c>
      <c r="C14" s="7"/>
      <c r="D14" s="8">
        <v>473000</v>
      </c>
      <c r="E14" s="7"/>
      <c r="F14" s="8">
        <v>26000</v>
      </c>
      <c r="G14" s="7"/>
    </row>
    <row r="15" spans="1:7" x14ac:dyDescent="0.35">
      <c r="A15" s="6" t="s">
        <v>18</v>
      </c>
      <c r="B15" s="8">
        <v>1054000</v>
      </c>
      <c r="C15" s="7"/>
      <c r="D15" s="8">
        <v>883000</v>
      </c>
      <c r="E15" s="7"/>
      <c r="F15" s="8">
        <v>37000</v>
      </c>
      <c r="G15" s="7"/>
    </row>
    <row r="16" spans="1:7" x14ac:dyDescent="0.35">
      <c r="A16" s="6" t="s">
        <v>19</v>
      </c>
      <c r="B16" s="8">
        <v>2316000</v>
      </c>
      <c r="C16" s="7"/>
      <c r="D16" s="8">
        <v>1900000</v>
      </c>
      <c r="E16" s="7"/>
      <c r="F16" s="8">
        <v>106000</v>
      </c>
      <c r="G16" s="7"/>
    </row>
    <row r="17" spans="1:7" x14ac:dyDescent="0.35">
      <c r="A17" s="6" t="s">
        <v>20</v>
      </c>
      <c r="B17" s="8">
        <v>1436000</v>
      </c>
      <c r="C17" s="7"/>
      <c r="D17" s="8">
        <v>1196000</v>
      </c>
      <c r="E17" s="7"/>
      <c r="F17" s="8">
        <v>68000</v>
      </c>
      <c r="G17" s="7"/>
    </row>
    <row r="18" spans="1:7" x14ac:dyDescent="0.35">
      <c r="A18" s="6" t="s">
        <v>21</v>
      </c>
      <c r="B18" s="8">
        <v>2171000</v>
      </c>
      <c r="C18" s="7"/>
      <c r="D18" s="8">
        <v>1722000</v>
      </c>
      <c r="E18" s="7"/>
      <c r="F18" s="8">
        <v>112000</v>
      </c>
      <c r="G18" s="7"/>
    </row>
    <row r="19" spans="1:7" x14ac:dyDescent="0.35">
      <c r="A19" s="6" t="s">
        <v>22</v>
      </c>
      <c r="B19" s="8">
        <v>1331000</v>
      </c>
      <c r="C19" s="7"/>
      <c r="D19" s="8">
        <v>776000</v>
      </c>
      <c r="E19" s="7"/>
      <c r="F19" s="8">
        <v>68000</v>
      </c>
      <c r="G19" s="7"/>
    </row>
    <row r="20" spans="1:7" x14ac:dyDescent="0.35">
      <c r="A20" s="6" t="s">
        <v>23</v>
      </c>
      <c r="B20" s="8">
        <v>951000</v>
      </c>
      <c r="C20" s="7"/>
      <c r="D20" s="8">
        <v>500000</v>
      </c>
      <c r="E20" s="7"/>
      <c r="F20" s="8">
        <v>48000</v>
      </c>
      <c r="G20" s="7"/>
    </row>
    <row r="21" spans="1:7" x14ac:dyDescent="0.35">
      <c r="A21" s="6" t="s">
        <v>24</v>
      </c>
      <c r="B21" s="8">
        <v>632000</v>
      </c>
      <c r="C21" s="7"/>
      <c r="D21" s="8">
        <v>434000</v>
      </c>
      <c r="E21" s="7"/>
      <c r="F21" s="8">
        <v>25000</v>
      </c>
      <c r="G21" s="7"/>
    </row>
    <row r="22" spans="1:7" x14ac:dyDescent="0.35">
      <c r="A22" s="6" t="s">
        <v>25</v>
      </c>
      <c r="B22" s="8">
        <v>2747000</v>
      </c>
      <c r="C22" s="7"/>
      <c r="D22" s="8">
        <v>1910000</v>
      </c>
      <c r="E22" s="7"/>
      <c r="F22" s="8">
        <v>141000</v>
      </c>
      <c r="G22" s="7"/>
    </row>
    <row r="23" spans="1:7" x14ac:dyDescent="0.35">
      <c r="A23" s="6" t="s">
        <v>26</v>
      </c>
      <c r="B23" s="8">
        <v>2474000</v>
      </c>
      <c r="C23" s="7"/>
      <c r="D23" s="8">
        <v>1897000</v>
      </c>
      <c r="E23" s="7"/>
      <c r="F23" s="8">
        <v>97000</v>
      </c>
      <c r="G23" s="7"/>
    </row>
    <row r="24" spans="1:7" x14ac:dyDescent="0.35">
      <c r="A24" s="6" t="s">
        <v>27</v>
      </c>
      <c r="B24" s="8">
        <v>1250000</v>
      </c>
      <c r="C24" s="7"/>
      <c r="D24" s="8">
        <v>987000</v>
      </c>
      <c r="E24" s="7"/>
      <c r="F24" s="8">
        <v>68000</v>
      </c>
      <c r="G24" s="7"/>
    </row>
    <row r="25" spans="1:7" x14ac:dyDescent="0.35">
      <c r="A25" s="6" t="s">
        <v>28</v>
      </c>
      <c r="B25" s="8">
        <v>2373000</v>
      </c>
      <c r="C25" s="7"/>
      <c r="D25" s="8">
        <v>1964000</v>
      </c>
      <c r="E25" s="7"/>
      <c r="F25" s="8">
        <v>109000</v>
      </c>
      <c r="G25" s="7"/>
    </row>
    <row r="26" spans="1:7" x14ac:dyDescent="0.35">
      <c r="A26" s="6" t="s">
        <v>29</v>
      </c>
      <c r="B26" s="8">
        <v>3834000</v>
      </c>
      <c r="C26" s="7"/>
      <c r="D26" s="8">
        <v>3205000</v>
      </c>
      <c r="E26" s="7"/>
      <c r="F26" s="8">
        <v>178000</v>
      </c>
      <c r="G26" s="7"/>
    </row>
    <row r="27" spans="1:7" x14ac:dyDescent="0.35">
      <c r="A27" s="6" t="s">
        <v>30</v>
      </c>
      <c r="B27" s="8">
        <v>694000</v>
      </c>
      <c r="C27" s="7"/>
      <c r="D27" s="8">
        <v>538000</v>
      </c>
      <c r="E27" s="7"/>
      <c r="F27" s="8">
        <v>29000</v>
      </c>
      <c r="G27" s="7"/>
    </row>
    <row r="28" spans="1:7" x14ac:dyDescent="0.35">
      <c r="A28" s="6" t="s">
        <v>31</v>
      </c>
      <c r="B28" s="8">
        <v>571000</v>
      </c>
      <c r="C28" s="7"/>
      <c r="D28" s="8">
        <v>433000</v>
      </c>
      <c r="E28" s="7"/>
      <c r="F28" s="8">
        <v>24000</v>
      </c>
      <c r="G28" s="7"/>
    </row>
    <row r="29" spans="1:7" x14ac:dyDescent="0.35">
      <c r="A29" s="6" t="s">
        <v>32</v>
      </c>
      <c r="B29" s="8">
        <v>0</v>
      </c>
      <c r="C29" s="7"/>
      <c r="D29" s="8">
        <v>0</v>
      </c>
      <c r="E29" s="7"/>
      <c r="F29" s="8">
        <v>0</v>
      </c>
      <c r="G29" s="7"/>
    </row>
    <row r="30" spans="1:7" x14ac:dyDescent="0.35">
      <c r="A30" s="6" t="s">
        <v>33</v>
      </c>
      <c r="B30" s="8">
        <v>0</v>
      </c>
      <c r="C30" s="7"/>
      <c r="D30" s="8">
        <v>0</v>
      </c>
      <c r="E30" s="7"/>
      <c r="F30" s="8">
        <v>0</v>
      </c>
      <c r="G30" s="7"/>
    </row>
    <row r="32" spans="1:7" x14ac:dyDescent="0.35">
      <c r="A32" s="10" t="s">
        <v>34</v>
      </c>
    </row>
    <row r="33" spans="1:7" x14ac:dyDescent="0.35">
      <c r="A33" s="10" t="s">
        <v>35</v>
      </c>
    </row>
    <row r="36" spans="1:7" ht="15.5" x14ac:dyDescent="0.35">
      <c r="A36" s="1" t="s">
        <v>0</v>
      </c>
    </row>
    <row r="37" spans="1:7" x14ac:dyDescent="0.35">
      <c r="A37" s="2" t="s">
        <v>1</v>
      </c>
    </row>
    <row r="39" spans="1:7" x14ac:dyDescent="0.35">
      <c r="A39" s="3" t="s">
        <v>2</v>
      </c>
      <c r="B39" s="3">
        <v>2024</v>
      </c>
    </row>
    <row r="40" spans="1:7" x14ac:dyDescent="0.35">
      <c r="A40" s="3" t="s">
        <v>3</v>
      </c>
      <c r="B40" s="3" t="s">
        <v>4</v>
      </c>
    </row>
    <row r="41" spans="1:7" x14ac:dyDescent="0.35">
      <c r="A41" s="3" t="s">
        <v>5</v>
      </c>
      <c r="B41" s="3" t="s">
        <v>36</v>
      </c>
    </row>
    <row r="43" spans="1:7" ht="39" customHeight="1" x14ac:dyDescent="0.35">
      <c r="A43" s="5" t="s">
        <v>11</v>
      </c>
      <c r="B43" s="11" t="s">
        <v>7</v>
      </c>
      <c r="C43" s="11" t="s">
        <v>8</v>
      </c>
      <c r="D43" s="11" t="s">
        <v>9</v>
      </c>
      <c r="E43" s="11" t="s">
        <v>8</v>
      </c>
      <c r="F43" s="11" t="s">
        <v>10</v>
      </c>
      <c r="G43" s="11" t="s">
        <v>8</v>
      </c>
    </row>
    <row r="44" spans="1:7" ht="26" customHeight="1" x14ac:dyDescent="0.35">
      <c r="B44" s="4" t="s">
        <v>12</v>
      </c>
      <c r="C44" s="4" t="s">
        <v>8</v>
      </c>
      <c r="D44" s="4" t="s">
        <v>12</v>
      </c>
      <c r="E44" s="4" t="s">
        <v>8</v>
      </c>
      <c r="F44" s="4" t="s">
        <v>12</v>
      </c>
      <c r="G44" s="4" t="s">
        <v>8</v>
      </c>
    </row>
    <row r="45" spans="1:7" x14ac:dyDescent="0.35">
      <c r="A45" s="6" t="s">
        <v>13</v>
      </c>
      <c r="B45" s="9">
        <v>1.2</v>
      </c>
      <c r="C45" s="7"/>
      <c r="D45" s="9">
        <v>1.5</v>
      </c>
      <c r="E45" s="7"/>
      <c r="F45" s="9">
        <v>1.4</v>
      </c>
      <c r="G45" s="7"/>
    </row>
    <row r="46" spans="1:7" x14ac:dyDescent="0.35">
      <c r="A46" s="6" t="s">
        <v>14</v>
      </c>
      <c r="B46" s="9">
        <v>1.1000000000000001</v>
      </c>
      <c r="C46" s="7"/>
      <c r="D46" s="9">
        <v>1.3</v>
      </c>
      <c r="E46" s="7"/>
      <c r="F46" s="9">
        <v>1.5</v>
      </c>
      <c r="G46" s="7"/>
    </row>
    <row r="47" spans="1:7" x14ac:dyDescent="0.35">
      <c r="A47" s="6" t="s">
        <v>15</v>
      </c>
      <c r="B47" s="9">
        <v>7</v>
      </c>
      <c r="C47" s="7"/>
      <c r="D47" s="9">
        <v>8.3000000000000007</v>
      </c>
      <c r="E47" s="7"/>
      <c r="F47" s="9">
        <v>7.4</v>
      </c>
      <c r="G47" s="7"/>
    </row>
    <row r="48" spans="1:7" x14ac:dyDescent="0.35">
      <c r="A48" s="6" t="s">
        <v>16</v>
      </c>
      <c r="B48" s="9">
        <v>5</v>
      </c>
      <c r="C48" s="7"/>
      <c r="D48" s="9">
        <v>5.4</v>
      </c>
      <c r="E48" s="7"/>
      <c r="F48" s="9">
        <v>4.7</v>
      </c>
      <c r="G48" s="7"/>
    </row>
    <row r="49" spans="1:7" x14ac:dyDescent="0.35">
      <c r="A49" s="6" t="s">
        <v>17</v>
      </c>
      <c r="B49" s="9">
        <v>1.8</v>
      </c>
      <c r="C49" s="7"/>
      <c r="D49" s="9">
        <v>2.1</v>
      </c>
      <c r="E49" s="7"/>
      <c r="F49" s="9">
        <v>1.9</v>
      </c>
      <c r="G49" s="7"/>
    </row>
    <row r="50" spans="1:7" x14ac:dyDescent="0.35">
      <c r="A50" s="6" t="s">
        <v>18</v>
      </c>
      <c r="B50" s="9">
        <v>3.7</v>
      </c>
      <c r="C50" s="7"/>
      <c r="D50" s="9">
        <v>3.9</v>
      </c>
      <c r="E50" s="7"/>
      <c r="F50" s="9">
        <v>2.8</v>
      </c>
      <c r="G50" s="7"/>
    </row>
    <row r="51" spans="1:7" x14ac:dyDescent="0.35">
      <c r="A51" s="6" t="s">
        <v>19</v>
      </c>
      <c r="B51" s="9">
        <v>8.1999999999999993</v>
      </c>
      <c r="C51" s="7"/>
      <c r="D51" s="9">
        <v>8.4</v>
      </c>
      <c r="E51" s="7"/>
      <c r="F51" s="9">
        <v>7.9</v>
      </c>
      <c r="G51" s="7"/>
    </row>
    <row r="52" spans="1:7" x14ac:dyDescent="0.35">
      <c r="A52" s="6" t="s">
        <v>20</v>
      </c>
      <c r="B52" s="9">
        <v>5.0999999999999996</v>
      </c>
      <c r="C52" s="7"/>
      <c r="D52" s="9">
        <v>5.3</v>
      </c>
      <c r="E52" s="7"/>
      <c r="F52" s="9">
        <v>5.0999999999999996</v>
      </c>
      <c r="G52" s="7"/>
    </row>
    <row r="53" spans="1:7" x14ac:dyDescent="0.35">
      <c r="A53" s="6" t="s">
        <v>21</v>
      </c>
      <c r="B53" s="9">
        <v>7.6</v>
      </c>
      <c r="C53" s="7"/>
      <c r="D53" s="9">
        <v>7.6</v>
      </c>
      <c r="E53" s="7"/>
      <c r="F53" s="9">
        <v>8.4</v>
      </c>
      <c r="G53" s="7"/>
    </row>
    <row r="54" spans="1:7" x14ac:dyDescent="0.35">
      <c r="A54" s="6" t="s">
        <v>22</v>
      </c>
      <c r="B54" s="9">
        <v>4.7</v>
      </c>
      <c r="C54" s="7"/>
      <c r="D54" s="9">
        <v>3.4</v>
      </c>
      <c r="E54" s="7"/>
      <c r="F54" s="9">
        <v>5.0999999999999996</v>
      </c>
      <c r="G54" s="7"/>
    </row>
    <row r="55" spans="1:7" x14ac:dyDescent="0.35">
      <c r="A55" s="6" t="s">
        <v>23</v>
      </c>
      <c r="B55" s="9">
        <v>3.3</v>
      </c>
      <c r="C55" s="7"/>
      <c r="D55" s="9">
        <v>2.2000000000000002</v>
      </c>
      <c r="E55" s="7"/>
      <c r="F55" s="9">
        <v>3.6</v>
      </c>
      <c r="G55" s="7"/>
    </row>
    <row r="56" spans="1:7" x14ac:dyDescent="0.35">
      <c r="A56" s="6" t="s">
        <v>24</v>
      </c>
      <c r="B56" s="9">
        <v>2.2000000000000002</v>
      </c>
      <c r="C56" s="7"/>
      <c r="D56" s="9">
        <v>1.9</v>
      </c>
      <c r="E56" s="7"/>
      <c r="F56" s="9">
        <v>1.9</v>
      </c>
      <c r="G56" s="7"/>
    </row>
    <row r="57" spans="1:7" x14ac:dyDescent="0.35">
      <c r="A57" s="6" t="s">
        <v>25</v>
      </c>
      <c r="B57" s="9">
        <v>9.6999999999999993</v>
      </c>
      <c r="C57" s="7"/>
      <c r="D57" s="9">
        <v>8.5</v>
      </c>
      <c r="E57" s="7"/>
      <c r="F57" s="9">
        <v>10.5</v>
      </c>
      <c r="G57" s="7"/>
    </row>
    <row r="58" spans="1:7" x14ac:dyDescent="0.35">
      <c r="A58" s="6" t="s">
        <v>26</v>
      </c>
      <c r="B58" s="9">
        <v>8.6999999999999993</v>
      </c>
      <c r="C58" s="7"/>
      <c r="D58" s="9">
        <v>8.4</v>
      </c>
      <c r="E58" s="7"/>
      <c r="F58" s="9">
        <v>7.2</v>
      </c>
      <c r="G58" s="7"/>
    </row>
    <row r="59" spans="1:7" x14ac:dyDescent="0.35">
      <c r="A59" s="6" t="s">
        <v>27</v>
      </c>
      <c r="B59" s="9">
        <v>4.4000000000000004</v>
      </c>
      <c r="C59" s="7"/>
      <c r="D59" s="9">
        <v>4.4000000000000004</v>
      </c>
      <c r="E59" s="7"/>
      <c r="F59" s="9">
        <v>5.0999999999999996</v>
      </c>
      <c r="G59" s="7"/>
    </row>
    <row r="60" spans="1:7" x14ac:dyDescent="0.35">
      <c r="A60" s="6" t="s">
        <v>28</v>
      </c>
      <c r="B60" s="9">
        <v>8.4</v>
      </c>
      <c r="C60" s="7"/>
      <c r="D60" s="9">
        <v>8.6999999999999993</v>
      </c>
      <c r="E60" s="7"/>
      <c r="F60" s="9">
        <v>8.1</v>
      </c>
      <c r="G60" s="7"/>
    </row>
    <row r="61" spans="1:7" x14ac:dyDescent="0.35">
      <c r="A61" s="6" t="s">
        <v>29</v>
      </c>
      <c r="B61" s="9">
        <v>13.5</v>
      </c>
      <c r="C61" s="7"/>
      <c r="D61" s="9">
        <v>14.2</v>
      </c>
      <c r="E61" s="7"/>
      <c r="F61" s="9">
        <v>13.3</v>
      </c>
      <c r="G61" s="7"/>
    </row>
    <row r="62" spans="1:7" x14ac:dyDescent="0.35">
      <c r="A62" s="6" t="s">
        <v>30</v>
      </c>
      <c r="B62" s="9">
        <v>2.4</v>
      </c>
      <c r="C62" s="7"/>
      <c r="D62" s="9">
        <v>2.4</v>
      </c>
      <c r="E62" s="7"/>
      <c r="F62" s="9">
        <v>2.2000000000000002</v>
      </c>
      <c r="G62" s="7"/>
    </row>
    <row r="63" spans="1:7" x14ac:dyDescent="0.35">
      <c r="A63" s="6" t="s">
        <v>31</v>
      </c>
      <c r="B63" s="9">
        <v>2</v>
      </c>
      <c r="C63" s="7"/>
      <c r="D63" s="9">
        <v>1.9</v>
      </c>
      <c r="E63" s="7"/>
      <c r="F63" s="9">
        <v>1.8</v>
      </c>
      <c r="G63" s="7"/>
    </row>
    <row r="64" spans="1:7" x14ac:dyDescent="0.35">
      <c r="A64" s="6" t="s">
        <v>32</v>
      </c>
      <c r="B64" s="9">
        <v>0</v>
      </c>
      <c r="C64" s="7"/>
      <c r="D64" s="9">
        <v>0</v>
      </c>
      <c r="E64" s="7"/>
      <c r="F64" s="9">
        <v>0</v>
      </c>
      <c r="G64" s="7"/>
    </row>
    <row r="65" spans="1:7" x14ac:dyDescent="0.35">
      <c r="A65" s="6" t="s">
        <v>33</v>
      </c>
      <c r="B65" s="9">
        <v>0</v>
      </c>
      <c r="C65" s="7"/>
      <c r="D65" s="9">
        <v>0</v>
      </c>
      <c r="E65" s="7"/>
      <c r="F65" s="9">
        <v>0</v>
      </c>
      <c r="G65" s="7"/>
    </row>
    <row r="67" spans="1:7" x14ac:dyDescent="0.35">
      <c r="A67" s="10" t="s">
        <v>34</v>
      </c>
    </row>
    <row r="68" spans="1:7" x14ac:dyDescent="0.35">
      <c r="A68" s="10" t="s">
        <v>35</v>
      </c>
    </row>
  </sheetData>
  <mergeCells count="6">
    <mergeCell ref="B8:C8"/>
    <mergeCell ref="D8:E8"/>
    <mergeCell ref="F8:G8"/>
    <mergeCell ref="B43:C43"/>
    <mergeCell ref="D43:E43"/>
    <mergeCell ref="F43:G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9EF8-EF30-4853-83B1-E083BA0B940A}">
  <dimension ref="A1:D20"/>
  <sheetViews>
    <sheetView workbookViewId="0">
      <selection activeCell="E26" sqref="E26"/>
    </sheetView>
  </sheetViews>
  <sheetFormatPr defaultRowHeight="14.5" x14ac:dyDescent="0.35"/>
  <sheetData>
    <row r="1" spans="1:4" x14ac:dyDescent="0.35">
      <c r="B1" t="s">
        <v>37</v>
      </c>
      <c r="C1" t="s">
        <v>38</v>
      </c>
      <c r="D1" t="s">
        <v>39</v>
      </c>
    </row>
    <row r="2" spans="1:4" x14ac:dyDescent="0.35">
      <c r="A2" t="str">
        <f>_xlfn.TEXTBEFORE(_xlfn.TEXTAFTER(raw_data!A10,": "), " (")</f>
        <v>Agriculture, forestry &amp; fishing</v>
      </c>
      <c r="B2" s="9">
        <v>1.2</v>
      </c>
      <c r="C2" s="9">
        <v>1.5</v>
      </c>
      <c r="D2" s="9">
        <v>1.4</v>
      </c>
    </row>
    <row r="3" spans="1:4" x14ac:dyDescent="0.35">
      <c r="A3" t="str">
        <f>_xlfn.TEXTBEFORE(_xlfn.TEXTAFTER(raw_data!A11,": "), " (")</f>
        <v>Mining, quarrying &amp; utilities</v>
      </c>
      <c r="B3" s="9">
        <v>1.1000000000000001</v>
      </c>
      <c r="C3" s="9">
        <v>1.3</v>
      </c>
      <c r="D3" s="9">
        <v>1.5</v>
      </c>
    </row>
    <row r="4" spans="1:4" x14ac:dyDescent="0.35">
      <c r="A4" t="str">
        <f>_xlfn.TEXTBEFORE(_xlfn.TEXTAFTER(raw_data!A12,": "), " (")</f>
        <v>Manufacturing</v>
      </c>
      <c r="B4" s="9">
        <v>7</v>
      </c>
      <c r="C4" s="9">
        <v>8.3000000000000007</v>
      </c>
      <c r="D4" s="9">
        <v>7.4</v>
      </c>
    </row>
    <row r="5" spans="1:4" x14ac:dyDescent="0.35">
      <c r="A5" t="str">
        <f>_xlfn.TEXTBEFORE(_xlfn.TEXTAFTER(raw_data!A13,": "), " (")</f>
        <v>Construction</v>
      </c>
      <c r="B5" s="9">
        <v>5</v>
      </c>
      <c r="C5" s="9">
        <v>5.4</v>
      </c>
      <c r="D5" s="9">
        <v>4.7</v>
      </c>
    </row>
    <row r="6" spans="1:4" x14ac:dyDescent="0.35">
      <c r="A6" t="str">
        <f>_xlfn.TEXTBEFORE(_xlfn.TEXTAFTER(raw_data!A14,": "), " (")</f>
        <v>Motor trades</v>
      </c>
      <c r="B6" s="9">
        <v>1.8</v>
      </c>
      <c r="C6" s="9">
        <v>2.1</v>
      </c>
      <c r="D6" s="9">
        <v>1.9</v>
      </c>
    </row>
    <row r="7" spans="1:4" x14ac:dyDescent="0.35">
      <c r="A7" t="str">
        <f>_xlfn.TEXTBEFORE(_xlfn.TEXTAFTER(raw_data!A15,": "), " (")</f>
        <v>Wholesale</v>
      </c>
      <c r="B7" s="9">
        <v>3.7</v>
      </c>
      <c r="C7" s="9">
        <v>3.9</v>
      </c>
      <c r="D7" s="9">
        <v>2.8</v>
      </c>
    </row>
    <row r="8" spans="1:4" x14ac:dyDescent="0.35">
      <c r="A8" t="str">
        <f>_xlfn.TEXTBEFORE(_xlfn.TEXTAFTER(raw_data!A16,": "), " (")</f>
        <v>Retail</v>
      </c>
      <c r="B8" s="9">
        <v>8.1999999999999993</v>
      </c>
      <c r="C8" s="9">
        <v>8.4</v>
      </c>
      <c r="D8" s="9">
        <v>7.9</v>
      </c>
    </row>
    <row r="9" spans="1:4" x14ac:dyDescent="0.35">
      <c r="A9" t="str">
        <f>_xlfn.TEXTBEFORE(_xlfn.TEXTAFTER(raw_data!A17,": "), " (")</f>
        <v>Transport &amp; storage</v>
      </c>
      <c r="B9" s="9">
        <v>5.0999999999999996</v>
      </c>
      <c r="C9" s="9">
        <v>5.3</v>
      </c>
      <c r="D9" s="9">
        <v>5.0999999999999996</v>
      </c>
    </row>
    <row r="10" spans="1:4" x14ac:dyDescent="0.35">
      <c r="A10" t="str">
        <f>_xlfn.TEXTBEFORE(_xlfn.TEXTAFTER(raw_data!A18,": "), " (")</f>
        <v>Accommodation &amp; food services</v>
      </c>
      <c r="B10" s="9">
        <v>7.6</v>
      </c>
      <c r="C10" s="9">
        <v>7.6</v>
      </c>
      <c r="D10" s="9">
        <v>8.4</v>
      </c>
    </row>
    <row r="11" spans="1:4" x14ac:dyDescent="0.35">
      <c r="A11" t="str">
        <f>_xlfn.TEXTBEFORE(_xlfn.TEXTAFTER(raw_data!A19,": "), " (")</f>
        <v>Information &amp; communication</v>
      </c>
      <c r="B11" s="9">
        <v>4.7</v>
      </c>
      <c r="C11" s="9">
        <v>3.4</v>
      </c>
      <c r="D11" s="9">
        <v>5.0999999999999996</v>
      </c>
    </row>
    <row r="12" spans="1:4" x14ac:dyDescent="0.35">
      <c r="A12" t="str">
        <f>_xlfn.TEXTBEFORE(_xlfn.TEXTAFTER(raw_data!A20,": "), " (")</f>
        <v>Financial &amp; insurance</v>
      </c>
      <c r="B12" s="9">
        <v>3.3</v>
      </c>
      <c r="C12" s="9">
        <v>2.2000000000000002</v>
      </c>
      <c r="D12" s="9">
        <v>3.6</v>
      </c>
    </row>
    <row r="13" spans="1:4" x14ac:dyDescent="0.35">
      <c r="A13" t="str">
        <f>_xlfn.TEXTBEFORE(_xlfn.TEXTAFTER(raw_data!A21,": "), " (")</f>
        <v>Property</v>
      </c>
      <c r="B13" s="9">
        <v>2.2000000000000002</v>
      </c>
      <c r="C13" s="9">
        <v>1.9</v>
      </c>
      <c r="D13" s="9">
        <v>1.9</v>
      </c>
    </row>
    <row r="14" spans="1:4" x14ac:dyDescent="0.35">
      <c r="A14" t="str">
        <f>_xlfn.TEXTBEFORE(_xlfn.TEXTAFTER(raw_data!A22,": "), " (")</f>
        <v>Professional, scientific &amp; technical</v>
      </c>
      <c r="B14" s="9">
        <v>9.6999999999999993</v>
      </c>
      <c r="C14" s="9">
        <v>8.5</v>
      </c>
      <c r="D14" s="9">
        <v>10.5</v>
      </c>
    </row>
    <row r="15" spans="1:4" x14ac:dyDescent="0.35">
      <c r="A15" t="str">
        <f>_xlfn.TEXTBEFORE(_xlfn.TEXTAFTER(raw_data!A23,": "), " (")</f>
        <v>Business administration &amp; support services</v>
      </c>
      <c r="B15" s="9">
        <v>8.6999999999999993</v>
      </c>
      <c r="C15" s="9">
        <v>8.4</v>
      </c>
      <c r="D15" s="9">
        <v>7.2</v>
      </c>
    </row>
    <row r="16" spans="1:4" x14ac:dyDescent="0.35">
      <c r="A16" t="str">
        <f>_xlfn.TEXTBEFORE(_xlfn.TEXTAFTER(raw_data!A24,": "), " (")</f>
        <v>Public administration &amp; defence</v>
      </c>
      <c r="B16" s="9">
        <v>4.4000000000000004</v>
      </c>
      <c r="C16" s="9">
        <v>4.4000000000000004</v>
      </c>
      <c r="D16" s="9">
        <v>5.0999999999999996</v>
      </c>
    </row>
    <row r="17" spans="1:4" x14ac:dyDescent="0.35">
      <c r="A17" t="str">
        <f>_xlfn.TEXTBEFORE(_xlfn.TEXTAFTER(raw_data!A25,": "), " (")</f>
        <v>Education</v>
      </c>
      <c r="B17" s="9">
        <v>8.4</v>
      </c>
      <c r="C17" s="9">
        <v>8.6999999999999993</v>
      </c>
      <c r="D17" s="9">
        <v>8.1</v>
      </c>
    </row>
    <row r="18" spans="1:4" x14ac:dyDescent="0.35">
      <c r="A18" t="str">
        <f>_xlfn.TEXTBEFORE(_xlfn.TEXTAFTER(raw_data!A26,": "), " (")</f>
        <v>Health</v>
      </c>
      <c r="B18" s="9">
        <v>13.5</v>
      </c>
      <c r="C18" s="9">
        <v>14.2</v>
      </c>
      <c r="D18" s="9">
        <v>13.3</v>
      </c>
    </row>
    <row r="19" spans="1:4" x14ac:dyDescent="0.35">
      <c r="A19" t="str">
        <f>_xlfn.TEXTAFTER(raw_data!A27,": ")</f>
        <v>Arts, entertainment and recreation</v>
      </c>
      <c r="B19" s="9">
        <v>2.4</v>
      </c>
      <c r="C19" s="9">
        <v>2.4</v>
      </c>
      <c r="D19" s="9">
        <v>2.2000000000000002</v>
      </c>
    </row>
    <row r="20" spans="1:4" x14ac:dyDescent="0.35">
      <c r="A20" t="str">
        <f>_xlfn.TEXTAFTER(raw_data!A28,": ")</f>
        <v>Other service activities</v>
      </c>
      <c r="B20" s="9">
        <v>2</v>
      </c>
      <c r="C20" s="9">
        <v>1.9</v>
      </c>
      <c r="D20" s="9">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2026-04-10T13:54:51Z</dcterms:created>
  <dcterms:modified xsi:type="dcterms:W3CDTF">2026-04-10T13:09:15Z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