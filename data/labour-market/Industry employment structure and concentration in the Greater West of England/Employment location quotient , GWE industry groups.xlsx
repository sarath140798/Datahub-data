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k3626\Downloads\"/>
    </mc:Choice>
  </mc:AlternateContent>
  <xr:revisionPtr revIDLastSave="0" documentId="13_ncr:1_{2BFF3D1A-D41A-4471-8F24-40DC5213B434}"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 i="2"/>
</calcChain>
</file>

<file path=xl/sharedStrings.xml><?xml version="1.0" encoding="utf-8"?>
<sst xmlns="http://schemas.openxmlformats.org/spreadsheetml/2006/main" count="75" uniqueCount="70">
  <si>
    <t>Business Register and Employment Survey : open access</t>
  </si>
  <si>
    <t>ONS Crown Copyright Reserved [from Nomis on 10 April 2026]</t>
  </si>
  <si>
    <t>date</t>
  </si>
  <si>
    <t>employment status</t>
  </si>
  <si>
    <t>Employment</t>
  </si>
  <si>
    <t>measure</t>
  </si>
  <si>
    <t>Industry percentage</t>
  </si>
  <si>
    <t>User Defined Geography:England</t>
  </si>
  <si>
    <t>Flags</t>
  </si>
  <si>
    <t>User Defined Geography:Greater West of England</t>
  </si>
  <si>
    <t>Industry</t>
  </si>
  <si>
    <t>number</t>
  </si>
  <si>
    <t>1 : Agriculture, forestry &amp; fishing (A)</t>
  </si>
  <si>
    <t>2 : Mining, quarrying &amp; utilities (B,D and E)</t>
  </si>
  <si>
    <t>3 : Manufacturing (C)</t>
  </si>
  <si>
    <t>4 : Construction (F)</t>
  </si>
  <si>
    <t>5 : Motor trades (Part G)</t>
  </si>
  <si>
    <t>6 : Wholesale (Part G)</t>
  </si>
  <si>
    <t>7 : Retail (Part G)</t>
  </si>
  <si>
    <t>8 : Transport &amp; storage (inc postal) (H)</t>
  </si>
  <si>
    <t>9 : Accommodation &amp; food services (I)</t>
  </si>
  <si>
    <t>10 : Information &amp; communication (J)</t>
  </si>
  <si>
    <t>11 : Financial &amp; insurance (K)</t>
  </si>
  <si>
    <t>12 : Property (L)</t>
  </si>
  <si>
    <t>13 : Professional, scientific &amp; technical (M)</t>
  </si>
  <si>
    <t>14 : Business administration &amp; support services (N)</t>
  </si>
  <si>
    <t>15 : Public administration &amp; defence (O)</t>
  </si>
  <si>
    <t>16 : Education (P)</t>
  </si>
  <si>
    <t>17 : Health (Q)</t>
  </si>
  <si>
    <t>R : Arts, entertainment and recreation</t>
  </si>
  <si>
    <t>S : Other service activities</t>
  </si>
  <si>
    <t>The level of rounding applied varies by estimate. Please see article for further information on how rounding is applied https://www.nomisweb.co.uk/articles/1103.aspx.</t>
  </si>
  <si>
    <t>ONS have identified a quality issue resulting from geographical misreporting that affects output for the years 2015 to 2024. While the main headline employment estimates at national and regional levels remain unaffected, the employment estimates for the local authorities of Hillingdon and Hounslow, and certain areas within them, are compromised and thus should be used with caution. In line with our BRES revision policy, ONS will revise the provisional 2024 tables as part of the annual update in October 2026. Note that earlier years will not be revised, as BRES provides point‑in‑time estimates and is not designed for time‑series analysis.</t>
  </si>
  <si>
    <t>England</t>
  </si>
  <si>
    <t>Greater West of England</t>
  </si>
  <si>
    <t>location quotient</t>
  </si>
  <si>
    <t>Agriculture, forestry &amp; fishing</t>
  </si>
  <si>
    <t>Mining, quarrying &amp; utilities</t>
  </si>
  <si>
    <t>Manufacturing</t>
  </si>
  <si>
    <t>Construction</t>
  </si>
  <si>
    <t>Motor trades</t>
  </si>
  <si>
    <t>Wholesale</t>
  </si>
  <si>
    <t>Retail</t>
  </si>
  <si>
    <t>Transport &amp; storage</t>
  </si>
  <si>
    <t>Accommodation &amp; food services</t>
  </si>
  <si>
    <t>Information &amp; communication</t>
  </si>
  <si>
    <t>Financial &amp; insurance</t>
  </si>
  <si>
    <t>Property</t>
  </si>
  <si>
    <t>Professional, scientific &amp; technical</t>
  </si>
  <si>
    <t>Business administration &amp; support services</t>
  </si>
  <si>
    <t>Public administration &amp; defence</t>
  </si>
  <si>
    <t>Education</t>
  </si>
  <si>
    <t>Health</t>
  </si>
  <si>
    <t>Arts, entertainment and recreation</t>
  </si>
  <si>
    <t>Other service activities</t>
  </si>
  <si>
    <t>Dataset</t>
  </si>
  <si>
    <t>Business Register and Employment Survey : open access ( ONS via NOMIS )</t>
  </si>
  <si>
    <t>Tables used</t>
  </si>
  <si>
    <t>Nomis query (custom table): Business Register and Employment Survey (BRES) – open access; employment by industry (SIC 2007 broad industry groups, sections A–U)</t>
  </si>
  <si>
    <t>Publication date</t>
  </si>
  <si>
    <t>Link</t>
  </si>
  <si>
    <t>Nomis - Query Tool - Business Register and Employment Survey : open access</t>
  </si>
  <si>
    <t>Next update</t>
  </si>
  <si>
    <t>Autumn 2026 (provisional)</t>
  </si>
  <si>
    <t>Created date</t>
  </si>
  <si>
    <t>Last updated</t>
  </si>
  <si>
    <t>Geography used for analysis</t>
  </si>
  <si>
    <t>Data information</t>
  </si>
  <si>
    <t>Greater West of England (aggregating Bath and North East Somerset, Bristol, Gloucestershire, North Somerset, South Gloucestershire, Swindon and Wiltshire), with England as a comparator</t>
  </si>
  <si>
    <t>Employment shares from the Business Register and Employment Survey (BRES), covering employees in VAT and/or PAYE registered enterprises. Industries are grouped using the UK Standard Industrial Classification (SIC 2007) broad industry groups (sections A to U). For the "Arts, entertainment, recreation &amp; other services" category, SIC sections R (Arts, entertainment and recreation) and S (Other service activities) are presented separately.
Industry percentages represent the share of total employment within each geography.
Location quotients are calculated as the ratio of the industry share of employment in the Greater West of England to the corresponding share in England. Values greater than 1 indicate a higher concentration relative to England, while values less than 1 indicate a lower concentration. Location quotients are calculated using rounded percentage values.
Estimates are based on rounded values and may not sum exactly. Estimates are point-in-time and are not suitable for time series analysis.
ONS have identified a quality issue affecting geographical allocation for some local areas for the years 2015 to 2024. Estimates for affected areas should be interpreted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</si>
</sst>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7" formatCode="0.0"/>
  </numFmts>
  <fonts count="14" x14ac:knownFonts="1">
    <font>
      <sz val="11"/>
      <color indexed="8"/>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1" fillId="2" borderId="0"/>
    <xf numFmtId="0" fontId="13" fillId="2" borderId="0" applyNumberFormat="0" applyFill="0" applyBorder="0" applyAlignment="0" applyProtection="0"/>
  </cellStyleXfs>
  <cellXfs count="21">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0" fontId="8" fillId="0" borderId="0" xfId="0" applyFont="1"/>
    <xf numFmtId="165"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167" fontId="0" fillId="0" borderId="0" xfId="0" applyNumberFormat="1"/>
    <xf numFmtId="0" fontId="12" fillId="2" borderId="0" xfId="1" applyFont="1" applyAlignment="1">
      <alignment horizontal="left" wrapText="1"/>
    </xf>
    <xf numFmtId="0" fontId="11" fillId="2" borderId="0" xfId="1" applyAlignment="1">
      <alignment horizontal="left"/>
    </xf>
    <xf numFmtId="0" fontId="11" fillId="2" borderId="0" xfId="1"/>
    <xf numFmtId="0" fontId="11" fillId="2" borderId="0" xfId="1" applyAlignment="1">
      <alignment wrapText="1"/>
    </xf>
    <xf numFmtId="14" fontId="11" fillId="2" borderId="0" xfId="1" applyNumberFormat="1" applyAlignment="1">
      <alignment horizontal="left"/>
    </xf>
    <xf numFmtId="0" fontId="13" fillId="2" borderId="0" xfId="2"/>
    <xf numFmtId="17" fontId="11" fillId="2" borderId="0" xfId="1" applyNumberFormat="1" applyAlignment="1">
      <alignment horizontal="left"/>
    </xf>
    <xf numFmtId="0" fontId="11" fillId="2" borderId="0" xfId="1" applyAlignment="1">
      <alignment horizontal="left" wrapText="1"/>
    </xf>
    <xf numFmtId="0" fontId="0" fillId="0" borderId="0" xfId="0" applyAlignment="1">
      <alignment wrapText="1"/>
    </xf>
  </cellXfs>
  <cellStyles count="3">
    <cellStyle name="Hyperlink 2" xfId="2" xr:uid="{3733DAB4-41CE-4EC2-BD79-989F24B9DDE8}"/>
    <cellStyle name="Normal" xfId="0" builtinId="0"/>
    <cellStyle name="Normal 2" xfId="1" xr:uid="{D36AA806-35DB-4F9A-BEE7-09D9824B29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863B1-C4F6-4BBE-A409-661DC146800C}">
  <dimension ref="A1:B9"/>
  <sheetViews>
    <sheetView tabSelected="1" workbookViewId="0">
      <selection activeCell="B9" sqref="B9"/>
    </sheetView>
  </sheetViews>
  <sheetFormatPr defaultRowHeight="14.5" x14ac:dyDescent="0.35"/>
  <cols>
    <col min="1" max="1" width="25.08984375" style="14" bestFit="1" customWidth="1"/>
    <col min="2" max="2" width="81.54296875" style="14" customWidth="1"/>
    <col min="3" max="16384" width="8.7265625" style="14"/>
  </cols>
  <sheetData>
    <row r="1" spans="1:2" x14ac:dyDescent="0.35">
      <c r="A1" s="12" t="s">
        <v>55</v>
      </c>
      <c r="B1" s="13" t="s">
        <v>56</v>
      </c>
    </row>
    <row r="2" spans="1:2" ht="29" x14ac:dyDescent="0.35">
      <c r="A2" s="12" t="s">
        <v>57</v>
      </c>
      <c r="B2" s="15" t="s">
        <v>58</v>
      </c>
    </row>
    <row r="3" spans="1:2" x14ac:dyDescent="0.35">
      <c r="A3" s="12" t="s">
        <v>59</v>
      </c>
      <c r="B3" s="16">
        <v>45958</v>
      </c>
    </row>
    <row r="4" spans="1:2" x14ac:dyDescent="0.35">
      <c r="A4" s="12" t="s">
        <v>60</v>
      </c>
      <c r="B4" s="17" t="s">
        <v>61</v>
      </c>
    </row>
    <row r="5" spans="1:2" x14ac:dyDescent="0.35">
      <c r="A5" s="12" t="s">
        <v>62</v>
      </c>
      <c r="B5" s="18" t="s">
        <v>63</v>
      </c>
    </row>
    <row r="6" spans="1:2" x14ac:dyDescent="0.35">
      <c r="A6" s="12" t="s">
        <v>64</v>
      </c>
      <c r="B6" s="16">
        <v>46121</v>
      </c>
    </row>
    <row r="7" spans="1:2" x14ac:dyDescent="0.35">
      <c r="A7" s="12" t="s">
        <v>65</v>
      </c>
      <c r="B7" s="16">
        <v>46121</v>
      </c>
    </row>
    <row r="8" spans="1:2" ht="29" x14ac:dyDescent="0.35">
      <c r="A8" s="12" t="s">
        <v>66</v>
      </c>
      <c r="B8" s="20" t="s">
        <v>68</v>
      </c>
    </row>
    <row r="9" spans="1:2" ht="257.5" customHeight="1" x14ac:dyDescent="0.35">
      <c r="A9" s="12" t="s">
        <v>67</v>
      </c>
      <c r="B9" s="19" t="s">
        <v>69</v>
      </c>
    </row>
  </sheetData>
  <hyperlinks>
    <hyperlink ref="B4" r:id="rId1" display="https://www.nomisweb.co.uk/query/construct/summary.asp?mode=construct&amp;version=0&amp;dataset=189" xr:uid="{531BDCEB-1C98-443B-B81C-378D2F9554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workbookViewId="0">
      <selection activeCell="D10" activeCellId="1" sqref="B10:B28 D10:D28"/>
    </sheetView>
  </sheetViews>
  <sheetFormatPr defaultRowHeight="14.5" x14ac:dyDescent="0.35"/>
  <cols>
    <col min="1" max="1" width="32.08984375" customWidth="1" collapsed="1"/>
    <col min="2" max="2" width="14" customWidth="1" collapsed="1"/>
    <col min="3" max="3" width="5" customWidth="1" collapsed="1"/>
    <col min="4" max="4" width="14" customWidth="1" collapsed="1"/>
    <col min="5" max="5" width="5" customWidth="1" collapsed="1"/>
  </cols>
  <sheetData>
    <row r="1" spans="1:5" ht="15.5" x14ac:dyDescent="0.35">
      <c r="A1" s="1" t="s">
        <v>0</v>
      </c>
    </row>
    <row r="2" spans="1:5" x14ac:dyDescent="0.35">
      <c r="A2" s="2" t="s">
        <v>1</v>
      </c>
    </row>
    <row r="4" spans="1:5" x14ac:dyDescent="0.35">
      <c r="A4" s="3" t="s">
        <v>2</v>
      </c>
      <c r="B4" s="3">
        <v>2022</v>
      </c>
    </row>
    <row r="5" spans="1:5" x14ac:dyDescent="0.35">
      <c r="A5" s="3" t="s">
        <v>3</v>
      </c>
      <c r="B5" s="3" t="s">
        <v>4</v>
      </c>
    </row>
    <row r="6" spans="1:5" x14ac:dyDescent="0.35">
      <c r="A6" s="3" t="s">
        <v>5</v>
      </c>
      <c r="B6" s="3" t="s">
        <v>6</v>
      </c>
    </row>
    <row r="8" spans="1:5" ht="39" customHeight="1" x14ac:dyDescent="0.35">
      <c r="A8" s="5" t="s">
        <v>10</v>
      </c>
      <c r="B8" s="10" t="s">
        <v>7</v>
      </c>
      <c r="C8" s="10" t="s">
        <v>8</v>
      </c>
      <c r="D8" s="10" t="s">
        <v>9</v>
      </c>
      <c r="E8" s="10" t="s">
        <v>8</v>
      </c>
    </row>
    <row r="9" spans="1:5" ht="26" customHeight="1" x14ac:dyDescent="0.35">
      <c r="B9" s="4" t="s">
        <v>11</v>
      </c>
      <c r="C9" s="4" t="s">
        <v>8</v>
      </c>
      <c r="D9" s="4" t="s">
        <v>11</v>
      </c>
      <c r="E9" s="4" t="s">
        <v>8</v>
      </c>
    </row>
    <row r="10" spans="1:5" x14ac:dyDescent="0.35">
      <c r="A10" s="6" t="s">
        <v>12</v>
      </c>
      <c r="B10" s="8">
        <v>1.2</v>
      </c>
      <c r="C10" s="7"/>
      <c r="D10" s="8">
        <v>1.5</v>
      </c>
      <c r="E10" s="7"/>
    </row>
    <row r="11" spans="1:5" x14ac:dyDescent="0.35">
      <c r="A11" s="6" t="s">
        <v>13</v>
      </c>
      <c r="B11" s="8">
        <v>1.1000000000000001</v>
      </c>
      <c r="C11" s="7"/>
      <c r="D11" s="8">
        <v>1.5</v>
      </c>
      <c r="E11" s="7"/>
    </row>
    <row r="12" spans="1:5" x14ac:dyDescent="0.35">
      <c r="A12" s="6" t="s">
        <v>14</v>
      </c>
      <c r="B12" s="8">
        <v>7.4</v>
      </c>
      <c r="C12" s="7"/>
      <c r="D12" s="8">
        <v>7.7</v>
      </c>
      <c r="E12" s="7"/>
    </row>
    <row r="13" spans="1:5" x14ac:dyDescent="0.35">
      <c r="A13" s="6" t="s">
        <v>15</v>
      </c>
      <c r="B13" s="8">
        <v>4.9000000000000004</v>
      </c>
      <c r="C13" s="7"/>
      <c r="D13" s="8">
        <v>5.2</v>
      </c>
      <c r="E13" s="7"/>
    </row>
    <row r="14" spans="1:5" x14ac:dyDescent="0.35">
      <c r="A14" s="6" t="s">
        <v>16</v>
      </c>
      <c r="B14" s="8">
        <v>1.8</v>
      </c>
      <c r="C14" s="7"/>
      <c r="D14" s="8">
        <v>1.7</v>
      </c>
      <c r="E14" s="7"/>
    </row>
    <row r="15" spans="1:5" x14ac:dyDescent="0.35">
      <c r="A15" s="6" t="s">
        <v>17</v>
      </c>
      <c r="B15" s="8">
        <v>3.8</v>
      </c>
      <c r="C15" s="7"/>
      <c r="D15" s="8">
        <v>3.1</v>
      </c>
      <c r="E15" s="7"/>
    </row>
    <row r="16" spans="1:5" x14ac:dyDescent="0.35">
      <c r="A16" s="6" t="s">
        <v>18</v>
      </c>
      <c r="B16" s="8">
        <v>8.4</v>
      </c>
      <c r="C16" s="7"/>
      <c r="D16" s="8">
        <v>7.7</v>
      </c>
      <c r="E16" s="7"/>
    </row>
    <row r="17" spans="1:5" x14ac:dyDescent="0.35">
      <c r="A17" s="6" t="s">
        <v>19</v>
      </c>
      <c r="B17" s="8">
        <v>5.0999999999999996</v>
      </c>
      <c r="C17" s="7"/>
      <c r="D17" s="8">
        <v>4.9000000000000004</v>
      </c>
      <c r="E17" s="7"/>
    </row>
    <row r="18" spans="1:5" x14ac:dyDescent="0.35">
      <c r="A18" s="6" t="s">
        <v>20</v>
      </c>
      <c r="B18" s="8">
        <v>7.9</v>
      </c>
      <c r="C18" s="7"/>
      <c r="D18" s="8">
        <v>7.8</v>
      </c>
      <c r="E18" s="7"/>
    </row>
    <row r="19" spans="1:5" x14ac:dyDescent="0.35">
      <c r="A19" s="6" t="s">
        <v>21</v>
      </c>
      <c r="B19" s="8">
        <v>4.7</v>
      </c>
      <c r="C19" s="7"/>
      <c r="D19" s="8">
        <v>4.2</v>
      </c>
      <c r="E19" s="7"/>
    </row>
    <row r="20" spans="1:5" x14ac:dyDescent="0.35">
      <c r="A20" s="6" t="s">
        <v>22</v>
      </c>
      <c r="B20" s="8">
        <v>3.3</v>
      </c>
      <c r="C20" s="7"/>
      <c r="D20" s="8">
        <v>3.8</v>
      </c>
      <c r="E20" s="7"/>
    </row>
    <row r="21" spans="1:5" x14ac:dyDescent="0.35">
      <c r="A21" s="6" t="s">
        <v>23</v>
      </c>
      <c r="B21" s="8">
        <v>2</v>
      </c>
      <c r="C21" s="7"/>
      <c r="D21" s="8">
        <v>1.8</v>
      </c>
      <c r="E21" s="7"/>
    </row>
    <row r="22" spans="1:5" x14ac:dyDescent="0.35">
      <c r="A22" s="6" t="s">
        <v>24</v>
      </c>
      <c r="B22" s="8">
        <v>9.5</v>
      </c>
      <c r="C22" s="7"/>
      <c r="D22" s="8">
        <v>10.199999999999999</v>
      </c>
      <c r="E22" s="7"/>
    </row>
    <row r="23" spans="1:5" x14ac:dyDescent="0.35">
      <c r="A23" s="6" t="s">
        <v>25</v>
      </c>
      <c r="B23" s="8">
        <v>9.1</v>
      </c>
      <c r="C23" s="7"/>
      <c r="D23" s="8">
        <v>7.8</v>
      </c>
      <c r="E23" s="7"/>
    </row>
    <row r="24" spans="1:5" x14ac:dyDescent="0.35">
      <c r="A24" s="6" t="s">
        <v>26</v>
      </c>
      <c r="B24" s="8">
        <v>4.2</v>
      </c>
      <c r="C24" s="7"/>
      <c r="D24" s="8">
        <v>4.8</v>
      </c>
      <c r="E24" s="7"/>
    </row>
    <row r="25" spans="1:5" x14ac:dyDescent="0.35">
      <c r="A25" s="6" t="s">
        <v>27</v>
      </c>
      <c r="B25" s="8">
        <v>8.3000000000000007</v>
      </c>
      <c r="C25" s="7"/>
      <c r="D25" s="8">
        <v>9</v>
      </c>
      <c r="E25" s="7"/>
    </row>
    <row r="26" spans="1:5" x14ac:dyDescent="0.35">
      <c r="A26" s="6" t="s">
        <v>28</v>
      </c>
      <c r="B26" s="8">
        <v>12.9</v>
      </c>
      <c r="C26" s="7"/>
      <c r="D26" s="8">
        <v>13.1</v>
      </c>
      <c r="E26" s="7"/>
    </row>
    <row r="27" spans="1:5" x14ac:dyDescent="0.35">
      <c r="A27" s="6" t="s">
        <v>29</v>
      </c>
      <c r="B27" s="8">
        <v>2.4</v>
      </c>
      <c r="C27" s="7"/>
      <c r="D27" s="8">
        <v>2.5</v>
      </c>
      <c r="E27" s="7"/>
    </row>
    <row r="28" spans="1:5" x14ac:dyDescent="0.35">
      <c r="A28" s="6" t="s">
        <v>30</v>
      </c>
      <c r="B28" s="8">
        <v>2</v>
      </c>
      <c r="C28" s="7"/>
      <c r="D28" s="8">
        <v>1.8</v>
      </c>
      <c r="E28" s="7"/>
    </row>
    <row r="30" spans="1:5" x14ac:dyDescent="0.35">
      <c r="A30" s="9" t="s">
        <v>31</v>
      </c>
    </row>
    <row r="31" spans="1:5" x14ac:dyDescent="0.35">
      <c r="A31" s="9" t="s">
        <v>32</v>
      </c>
    </row>
  </sheetData>
  <mergeCells count="2">
    <mergeCell ref="B8:C8"/>
    <mergeCell ref="D8: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D02A-4028-4E0A-AF62-18650331CE04}">
  <dimension ref="A1:D20"/>
  <sheetViews>
    <sheetView workbookViewId="0">
      <selection activeCell="H14" sqref="H14"/>
    </sheetView>
  </sheetViews>
  <sheetFormatPr defaultRowHeight="14.5" x14ac:dyDescent="0.35"/>
  <sheetData>
    <row r="1" spans="1:4" x14ac:dyDescent="0.35">
      <c r="A1" s="5" t="s">
        <v>10</v>
      </c>
      <c r="B1" t="s">
        <v>33</v>
      </c>
      <c r="C1" t="s">
        <v>34</v>
      </c>
      <c r="D1" t="s">
        <v>35</v>
      </c>
    </row>
    <row r="2" spans="1:4" x14ac:dyDescent="0.35">
      <c r="A2" t="s">
        <v>36</v>
      </c>
      <c r="B2" s="8">
        <v>1.2</v>
      </c>
      <c r="C2" s="8">
        <v>1.5</v>
      </c>
      <c r="D2" s="11">
        <f>C2/B2</f>
        <v>1.25</v>
      </c>
    </row>
    <row r="3" spans="1:4" x14ac:dyDescent="0.35">
      <c r="A3" t="s">
        <v>37</v>
      </c>
      <c r="B3" s="8">
        <v>1.1000000000000001</v>
      </c>
      <c r="C3" s="8">
        <v>1.5</v>
      </c>
      <c r="D3" s="11">
        <f t="shared" ref="D3:D20" si="0">C3/B3</f>
        <v>1.3636363636363635</v>
      </c>
    </row>
    <row r="4" spans="1:4" x14ac:dyDescent="0.35">
      <c r="A4" t="s">
        <v>38</v>
      </c>
      <c r="B4" s="8">
        <v>7.4</v>
      </c>
      <c r="C4" s="8">
        <v>7.7</v>
      </c>
      <c r="D4" s="11">
        <f t="shared" si="0"/>
        <v>1.0405405405405406</v>
      </c>
    </row>
    <row r="5" spans="1:4" x14ac:dyDescent="0.35">
      <c r="A5" t="s">
        <v>39</v>
      </c>
      <c r="B5" s="8">
        <v>4.9000000000000004</v>
      </c>
      <c r="C5" s="8">
        <v>5.2</v>
      </c>
      <c r="D5" s="11">
        <f t="shared" si="0"/>
        <v>1.0612244897959184</v>
      </c>
    </row>
    <row r="6" spans="1:4" x14ac:dyDescent="0.35">
      <c r="A6" t="s">
        <v>40</v>
      </c>
      <c r="B6" s="8">
        <v>1.8</v>
      </c>
      <c r="C6" s="8">
        <v>1.7</v>
      </c>
      <c r="D6" s="11">
        <f t="shared" si="0"/>
        <v>0.94444444444444442</v>
      </c>
    </row>
    <row r="7" spans="1:4" x14ac:dyDescent="0.35">
      <c r="A7" t="s">
        <v>41</v>
      </c>
      <c r="B7" s="8">
        <v>3.8</v>
      </c>
      <c r="C7" s="8">
        <v>3.1</v>
      </c>
      <c r="D7" s="11">
        <f t="shared" si="0"/>
        <v>0.81578947368421062</v>
      </c>
    </row>
    <row r="8" spans="1:4" x14ac:dyDescent="0.35">
      <c r="A8" t="s">
        <v>42</v>
      </c>
      <c r="B8" s="8">
        <v>8.4</v>
      </c>
      <c r="C8" s="8">
        <v>7.7</v>
      </c>
      <c r="D8" s="11">
        <f t="shared" si="0"/>
        <v>0.91666666666666663</v>
      </c>
    </row>
    <row r="9" spans="1:4" x14ac:dyDescent="0.35">
      <c r="A9" t="s">
        <v>43</v>
      </c>
      <c r="B9" s="8">
        <v>5.0999999999999996</v>
      </c>
      <c r="C9" s="8">
        <v>4.9000000000000004</v>
      </c>
      <c r="D9" s="11">
        <f t="shared" si="0"/>
        <v>0.96078431372549034</v>
      </c>
    </row>
    <row r="10" spans="1:4" x14ac:dyDescent="0.35">
      <c r="A10" t="s">
        <v>44</v>
      </c>
      <c r="B10" s="8">
        <v>7.9</v>
      </c>
      <c r="C10" s="8">
        <v>7.8</v>
      </c>
      <c r="D10" s="11">
        <f t="shared" si="0"/>
        <v>0.98734177215189867</v>
      </c>
    </row>
    <row r="11" spans="1:4" x14ac:dyDescent="0.35">
      <c r="A11" t="s">
        <v>45</v>
      </c>
      <c r="B11" s="8">
        <v>4.7</v>
      </c>
      <c r="C11" s="8">
        <v>4.2</v>
      </c>
      <c r="D11" s="11">
        <f t="shared" si="0"/>
        <v>0.8936170212765957</v>
      </c>
    </row>
    <row r="12" spans="1:4" x14ac:dyDescent="0.35">
      <c r="A12" t="s">
        <v>46</v>
      </c>
      <c r="B12" s="8">
        <v>3.3</v>
      </c>
      <c r="C12" s="8">
        <v>3.8</v>
      </c>
      <c r="D12" s="11">
        <f t="shared" si="0"/>
        <v>1.1515151515151516</v>
      </c>
    </row>
    <row r="13" spans="1:4" x14ac:dyDescent="0.35">
      <c r="A13" t="s">
        <v>47</v>
      </c>
      <c r="B13" s="8">
        <v>2</v>
      </c>
      <c r="C13" s="8">
        <v>1.8</v>
      </c>
      <c r="D13" s="11">
        <f t="shared" si="0"/>
        <v>0.9</v>
      </c>
    </row>
    <row r="14" spans="1:4" x14ac:dyDescent="0.35">
      <c r="A14" t="s">
        <v>48</v>
      </c>
      <c r="B14" s="8">
        <v>9.5</v>
      </c>
      <c r="C14" s="8">
        <v>10.199999999999999</v>
      </c>
      <c r="D14" s="11">
        <f t="shared" si="0"/>
        <v>1.0736842105263158</v>
      </c>
    </row>
    <row r="15" spans="1:4" x14ac:dyDescent="0.35">
      <c r="A15" t="s">
        <v>49</v>
      </c>
      <c r="B15" s="8">
        <v>9.1</v>
      </c>
      <c r="C15" s="8">
        <v>7.8</v>
      </c>
      <c r="D15" s="11">
        <f t="shared" si="0"/>
        <v>0.85714285714285721</v>
      </c>
    </row>
    <row r="16" spans="1:4" x14ac:dyDescent="0.35">
      <c r="A16" t="s">
        <v>50</v>
      </c>
      <c r="B16" s="8">
        <v>4.2</v>
      </c>
      <c r="C16" s="8">
        <v>4.8</v>
      </c>
      <c r="D16" s="11">
        <f t="shared" si="0"/>
        <v>1.1428571428571428</v>
      </c>
    </row>
    <row r="17" spans="1:4" x14ac:dyDescent="0.35">
      <c r="A17" t="s">
        <v>51</v>
      </c>
      <c r="B17" s="8">
        <v>8.3000000000000007</v>
      </c>
      <c r="C17" s="8">
        <v>9</v>
      </c>
      <c r="D17" s="11">
        <f t="shared" si="0"/>
        <v>1.0843373493975903</v>
      </c>
    </row>
    <row r="18" spans="1:4" x14ac:dyDescent="0.35">
      <c r="A18" t="s">
        <v>52</v>
      </c>
      <c r="B18" s="8">
        <v>12.9</v>
      </c>
      <c r="C18" s="8">
        <v>13.1</v>
      </c>
      <c r="D18" s="11">
        <f t="shared" si="0"/>
        <v>1.0155038759689923</v>
      </c>
    </row>
    <row r="19" spans="1:4" x14ac:dyDescent="0.35">
      <c r="A19" t="s">
        <v>53</v>
      </c>
      <c r="B19" s="8">
        <v>2.4</v>
      </c>
      <c r="C19" s="8">
        <v>2.5</v>
      </c>
      <c r="D19" s="11">
        <f t="shared" si="0"/>
        <v>1.0416666666666667</v>
      </c>
    </row>
    <row r="20" spans="1:4" x14ac:dyDescent="0.35">
      <c r="A20" t="s">
        <v>54</v>
      </c>
      <c r="B20" s="8">
        <v>2</v>
      </c>
      <c r="C20" s="8">
        <v>1.8</v>
      </c>
      <c r="D20" s="11">
        <f t="shared" si="0"/>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2026-04-10T15:37:06Z</dcterms:created>
  <dcterms:modified xsi:type="dcterms:W3CDTF">2026-04-10T14:49:44Z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