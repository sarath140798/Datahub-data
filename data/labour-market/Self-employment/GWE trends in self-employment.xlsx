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Self-employment\"/>
    </mc:Choice>
  </mc:AlternateContent>
  <xr:revisionPtr revIDLastSave="0" documentId="13_ncr:1_{EEE4E6E0-CF70-4F61-BEF7-2ADD6AA309E5}" xr6:coauthVersionLast="47" xr6:coauthVersionMax="47" xr10:uidLastSave="{00000000-0000-0000-0000-000000000000}"/>
  <bookViews>
    <workbookView xWindow="-110" yWindow="-110" windowWidth="19420" windowHeight="11500" activeTab="2" xr2:uid="{51537323-66AF-457E-AAC0-579C4A40346E}"/>
  </bookViews>
  <sheets>
    <sheet name="Metadata" sheetId="4" r:id="rId1"/>
    <sheet name="Data" sheetId="2"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67" i="2" l="1"/>
  <c r="AL30" i="2"/>
  <c r="AL47" i="2"/>
  <c r="AL48" i="2"/>
  <c r="AL49" i="2"/>
  <c r="AL50" i="2"/>
  <c r="AL51" i="2"/>
  <c r="AL52" i="2"/>
  <c r="AL53" i="2"/>
  <c r="AL54" i="2"/>
  <c r="AL55" i="2"/>
  <c r="AL56" i="2"/>
  <c r="AL57" i="2"/>
  <c r="AL58" i="2"/>
  <c r="AL59" i="2"/>
  <c r="AL60" i="2"/>
  <c r="AL61" i="2"/>
  <c r="AL62" i="2"/>
  <c r="AL63" i="2"/>
  <c r="AL64" i="2"/>
  <c r="AL65" i="2"/>
  <c r="AL66" i="2"/>
  <c r="AL46" i="2"/>
  <c r="AL10" i="2"/>
  <c r="AL11" i="2"/>
  <c r="AL12" i="2"/>
  <c r="AL13" i="2"/>
  <c r="AL14" i="2"/>
  <c r="AL15" i="2"/>
  <c r="AL16" i="2"/>
  <c r="AL17" i="2"/>
  <c r="AL18" i="2"/>
  <c r="AL19" i="2"/>
  <c r="AL20" i="2"/>
  <c r="AL21" i="2"/>
  <c r="AL22" i="2"/>
  <c r="AL23" i="2"/>
  <c r="AL24" i="2"/>
  <c r="AL25" i="2"/>
  <c r="AL26" i="2"/>
  <c r="AL27" i="2"/>
  <c r="AL28" i="2"/>
  <c r="AL29" i="2"/>
  <c r="AL9" i="2"/>
</calcChain>
</file>

<file path=xl/sharedStrings.xml><?xml version="1.0" encoding="utf-8"?>
<sst xmlns="http://schemas.openxmlformats.org/spreadsheetml/2006/main" count="301" uniqueCount="73">
  <si>
    <t>Date</t>
  </si>
  <si>
    <t>Bath and North East Somerset</t>
  </si>
  <si>
    <t>Bristol, City of</t>
  </si>
  <si>
    <t>Cheltenham</t>
  </si>
  <si>
    <t>Cotswold</t>
  </si>
  <si>
    <t>Forest of Dean</t>
  </si>
  <si>
    <t>Gloucester</t>
  </si>
  <si>
    <t>North Somerset</t>
  </si>
  <si>
    <t>South Gloucestershire</t>
  </si>
  <si>
    <t>Stroud</t>
  </si>
  <si>
    <t>Swindon</t>
  </si>
  <si>
    <t>Tewkesbury</t>
  </si>
  <si>
    <t>Wiltshire</t>
  </si>
  <si>
    <t>Male</t>
  </si>
  <si>
    <t>Female</t>
  </si>
  <si>
    <t>!</t>
  </si>
  <si>
    <t>annual population survey</t>
  </si>
  <si>
    <t>ONS Crown Copyright Reserved [from Nomis on 8 April 2026]</t>
  </si>
  <si>
    <t>cell</t>
  </si>
  <si>
    <t>T01:14 (All aged 16 &amp; over - Self Employed : Males )</t>
  </si>
  <si>
    <t>confidence</t>
  </si>
  <si>
    <t>95% confidence interval (+/-)</t>
  </si>
  <si>
    <t>number</t>
  </si>
  <si>
    <t>Flags</t>
  </si>
  <si>
    <t>conf</t>
  </si>
  <si>
    <t>Jan 2004-Dec 2004</t>
  </si>
  <si>
    <t>Jan 2005-Dec 2005</t>
  </si>
  <si>
    <t>Jan 2006-Dec 2006</t>
  </si>
  <si>
    <t>*</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</si>
  <si>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</si>
  <si>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</si>
  <si>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</si>
  <si>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</si>
  <si>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</si>
  <si>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</si>
  <si>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</si>
  <si>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</si>
  <si>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</si>
  <si>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</si>
  <si>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</si>
  <si>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</si>
  <si>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</si>
  <si>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</si>
  <si>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</si>
  <si>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</si>
  <si>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</si>
  <si>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</si>
  <si>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 Estimate and confidence interval unreliable since the group sample size is small (3-9).</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</si>
  <si>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</si>
  <si>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</si>
  <si>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</si>
  <si>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T01:15 (All aged 16 &amp; over - Self Employed : Females )</t>
  </si>
  <si>
    <t>! Estimate and confidence interval not available since the group sample size is zero or disclosive (0-2).</t>
  </si>
  <si>
    <t>Self-employment as a percentage of all in employment (aged 16+). Self-employment defined on the basis of survey responses, with rates based on responses over a calendar year. Next calendar year update in April 2026.
APS Estimates have not been reweighted to new populations and consequently, will be inconsistent with the population totals used for the Labour Force Survey in the latest periods.
Data covers Jan - Dec of said year
! Estimate and confidence interval not available since the group sample size is zero or disclosive (0-2).</t>
  </si>
  <si>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</si>
  <si>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</si>
  <si>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</si>
  <si>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t>
  </si>
  <si>
    <t>Geography used for analysis</t>
  </si>
  <si>
    <t>Last updated</t>
  </si>
  <si>
    <t>Created date</t>
  </si>
  <si>
    <t>Nomis - Query Tool - annual population survey</t>
  </si>
  <si>
    <t>Link</t>
  </si>
  <si>
    <t>Next update</t>
  </si>
  <si>
    <t>Publication date</t>
  </si>
  <si>
    <t>Greater West of England self-employment trends by gender</t>
  </si>
  <si>
    <t>Tables</t>
  </si>
  <si>
    <t>Annual Population Survey</t>
  </si>
  <si>
    <t>Dataset</t>
  </si>
  <si>
    <t>Nomis</t>
  </si>
  <si>
    <t>Publisher</t>
  </si>
  <si>
    <t>GWE</t>
  </si>
  <si>
    <t>Jan 2025-Dec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</si>
</sst>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0"/>
      <name val="Arial"/>
      <family val="2"/>
    </font>
    <font>
      <sz val="10"/>
      <name val="Arial"/>
      <family val="2"/>
    </font>
    <font>
      <b/>
      <sz val="12"/>
      <name val="Arial"/>
      <family val="2"/>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style="thick">
        <color rgb="FFE9E7F0"/>
      </right>
      <top/>
      <bottom style="dotted">
        <color rgb="FFE9E6E6"/>
      </bottom>
      <diagonal/>
    </border>
    <border>
      <left/>
      <right style="medium">
        <color rgb="FFE9E7F0"/>
      </right>
      <top/>
      <bottom style="dotted">
        <color rgb="FFE9E6E6"/>
      </bottom>
      <diagonal/>
    </border>
  </borders>
  <cellStyleXfs count="3">
    <xf numFmtId="0" fontId="0" fillId="0" borderId="0"/>
    <xf numFmtId="0" fontId="5" fillId="0" borderId="0"/>
    <xf numFmtId="0" fontId="7" fillId="0" borderId="0" applyNumberFormat="0" applyFill="0" applyBorder="0" applyAlignment="0" applyProtection="0"/>
  </cellStyleXfs>
  <cellXfs count="24">
    <xf numFmtId="0" fontId="0" fillId="0" borderId="0" xfId="0"/>
    <xf numFmtId="0" fontId="2" fillId="0" borderId="0" xfId="0" applyFont="1" applyAlignment="1">
      <alignment horizontal="left" vertical="center" wrapText="1"/>
    </xf>
    <xf numFmtId="0" fontId="2" fillId="0" borderId="0" xfId="0" applyFont="1" applyAlignment="1">
      <alignment horizontal="right" vertical="center"/>
    </xf>
    <xf numFmtId="0" fontId="3" fillId="0" borderId="0" xfId="0" applyFont="1" applyAlignment="1">
      <alignment horizontal="left"/>
    </xf>
    <xf numFmtId="3" fontId="3" fillId="0" borderId="0" xfId="0" applyNumberFormat="1" applyFont="1" applyAlignment="1">
      <alignment horizontal="right"/>
    </xf>
    <xf numFmtId="3" fontId="0" fillId="0" borderId="0" xfId="0" applyNumberFormat="1"/>
    <xf numFmtId="0" fontId="4" fillId="0" borderId="0" xfId="0" applyFont="1" applyAlignment="1">
      <alignment horizontal="left" vertical="center"/>
    </xf>
    <xf numFmtId="0" fontId="3" fillId="0" borderId="0" xfId="0" applyFont="1"/>
    <xf numFmtId="0" fontId="6"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7"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8" fillId="0" borderId="0" xfId="0" applyFont="1" applyAlignment="1">
      <alignment vertical="center"/>
    </xf>
    <xf numFmtId="0" fontId="0" fillId="0" borderId="0" xfId="0"/>
    <xf numFmtId="0" fontId="6" fillId="2" borderId="1" xfId="0" applyFont="1" applyFill="1" applyBorder="1" applyAlignment="1">
      <alignment vertical="center"/>
    </xf>
    <xf numFmtId="3" fontId="6" fillId="2" borderId="2" xfId="0" applyNumberFormat="1" applyFont="1" applyFill="1" applyBorder="1" applyAlignment="1">
      <alignment horizontal="righ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right" vertical="center" wrapText="1"/>
    </xf>
    <xf numFmtId="0" fontId="6" fillId="0" borderId="0" xfId="0" applyFont="1"/>
    <xf numFmtId="0" fontId="2" fillId="0" borderId="0" xfId="0" applyFont="1" applyAlignment="1">
      <alignment horizontal="center" vertical="center" wrapText="1"/>
    </xf>
    <xf numFmtId="0" fontId="0" fillId="0" borderId="0" xfId="0"/>
  </cellXfs>
  <cellStyles count="3">
    <cellStyle name="Hyperlink" xfId="2" builtinId="8"/>
    <cellStyle name="Normal" xfId="0" builtinId="0"/>
    <cellStyle name="Normal 2" xfId="1" xr:uid="{E1E364FD-CD39-4933-9474-ABEB597A6F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B659C-17C1-4288-B3D3-8AEFF25D19B7}">
  <dimension ref="A1:B11"/>
  <sheetViews>
    <sheetView workbookViewId="0">
      <selection activeCell="B9" sqref="B9"/>
    </sheetView>
  </sheetViews>
  <sheetFormatPr defaultRowHeight="14.5" x14ac:dyDescent="0.35"/>
  <cols>
    <col min="1" max="1" width="24.54296875" customWidth="1"/>
    <col min="2" max="2" width="70.08984375" customWidth="1"/>
  </cols>
  <sheetData>
    <row r="1" spans="1:2" x14ac:dyDescent="0.35">
      <c r="A1" s="9" t="s">
        <v>70</v>
      </c>
      <c r="B1" s="10" t="s">
        <v>69</v>
      </c>
    </row>
    <row r="2" spans="1:2" x14ac:dyDescent="0.35">
      <c r="A2" s="9" t="s">
        <v>68</v>
      </c>
      <c r="B2" s="15" t="s">
        <v>67</v>
      </c>
    </row>
    <row r="3" spans="1:2" x14ac:dyDescent="0.35">
      <c r="A3" s="9" t="s">
        <v>66</v>
      </c>
      <c r="B3" s="15" t="s">
        <v>65</v>
      </c>
    </row>
    <row r="4" spans="1:2" x14ac:dyDescent="0.35">
      <c r="A4" s="9" t="s">
        <v>64</v>
      </c>
      <c r="B4" s="14">
        <v>46042</v>
      </c>
    </row>
    <row r="5" spans="1:2" x14ac:dyDescent="0.35">
      <c r="A5" s="9" t="s">
        <v>63</v>
      </c>
      <c r="B5" s="13">
        <v>46113</v>
      </c>
    </row>
    <row r="6" spans="1:2" x14ac:dyDescent="0.35">
      <c r="A6" s="9" t="s">
        <v>62</v>
      </c>
      <c r="B6" s="12" t="s">
        <v>61</v>
      </c>
    </row>
    <row r="7" spans="1:2" x14ac:dyDescent="0.35">
      <c r="A7" s="9" t="s">
        <v>60</v>
      </c>
      <c r="B7" s="11">
        <v>46121</v>
      </c>
    </row>
    <row r="8" spans="1:2" x14ac:dyDescent="0.35">
      <c r="A8" s="9" t="s">
        <v>59</v>
      </c>
      <c r="B8" s="11">
        <v>46121</v>
      </c>
    </row>
    <row r="9" spans="1:2" ht="58" x14ac:dyDescent="0.35">
      <c r="A9" s="9" t="s">
        <v>58</v>
      </c>
      <c r="B9" s="10" t="s">
        <v>57</v>
      </c>
    </row>
    <row r="10" spans="1:2" x14ac:dyDescent="0.35">
      <c r="A10" s="9" t="s">
        <v>56</v>
      </c>
      <c r="B10" s="10" t="s">
        <v>55</v>
      </c>
    </row>
    <row r="11" spans="1:2" ht="159.5" x14ac:dyDescent="0.35">
      <c r="A11" s="9" t="s">
        <v>54</v>
      </c>
      <c r="B11" s="8" t="s">
        <v>53</v>
      </c>
    </row>
  </sheetData>
  <hyperlinks>
    <hyperlink ref="B6" r:id="rId1" display="https://www.nomisweb.co.uk/query/construct/summary.asp" xr:uid="{10133165-4FCF-4DEC-8C71-264769F9D8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7F3E-352A-4C5B-A1D3-A4BA31227474}">
  <dimension ref="A1:AL73"/>
  <sheetViews>
    <sheetView topLeftCell="AC50" workbookViewId="0">
      <selection activeCell="AL67" sqref="AL67"/>
    </sheetView>
  </sheetViews>
  <sheetFormatPr defaultRowHeight="14.5" x14ac:dyDescent="0.35"/>
  <sheetData>
    <row r="1" spans="1:38" ht="15.5" x14ac:dyDescent="0.35">
      <c r="A1" s="6" t="s">
        <v>16</v>
      </c>
    </row>
    <row r="2" spans="1:38" x14ac:dyDescent="0.35">
      <c r="A2" s="7" t="s">
        <v>17</v>
      </c>
    </row>
    <row r="4" spans="1:38" x14ac:dyDescent="0.35">
      <c r="A4" s="3" t="s">
        <v>18</v>
      </c>
      <c r="B4" s="3" t="s">
        <v>19</v>
      </c>
    </row>
    <row r="5" spans="1:38" x14ac:dyDescent="0.35">
      <c r="A5" s="3" t="s">
        <v>20</v>
      </c>
      <c r="B5" s="3" t="s">
        <v>21</v>
      </c>
    </row>
    <row r="7" spans="1:38" ht="30" customHeight="1" x14ac:dyDescent="0.35">
      <c r="A7" s="1" t="s">
        <v>0</v>
      </c>
      <c r="B7" s="22" t="s">
        <v>1</v>
      </c>
      <c r="C7" s="23"/>
      <c r="D7" s="23"/>
      <c r="E7" s="22" t="s">
        <v>2</v>
      </c>
      <c r="F7" s="23"/>
      <c r="G7" s="23"/>
      <c r="H7" s="22" t="s">
        <v>3</v>
      </c>
      <c r="I7" s="23"/>
      <c r="J7" s="23"/>
      <c r="K7" s="22" t="s">
        <v>4</v>
      </c>
      <c r="L7" s="23"/>
      <c r="M7" s="23"/>
      <c r="N7" s="22" t="s">
        <v>5</v>
      </c>
      <c r="O7" s="23"/>
      <c r="P7" s="23"/>
      <c r="Q7" s="22" t="s">
        <v>6</v>
      </c>
      <c r="R7" s="23"/>
      <c r="S7" s="23"/>
      <c r="T7" s="22" t="s">
        <v>7</v>
      </c>
      <c r="U7" s="23"/>
      <c r="V7" s="23"/>
      <c r="W7" s="22" t="s">
        <v>8</v>
      </c>
      <c r="X7" s="23"/>
      <c r="Y7" s="23"/>
      <c r="Z7" s="22" t="s">
        <v>9</v>
      </c>
      <c r="AA7" s="23"/>
      <c r="AB7" s="23"/>
      <c r="AC7" s="22" t="s">
        <v>10</v>
      </c>
      <c r="AD7" s="23"/>
      <c r="AE7" s="23"/>
      <c r="AF7" s="22" t="s">
        <v>11</v>
      </c>
      <c r="AG7" s="23"/>
      <c r="AH7" s="23"/>
      <c r="AI7" s="22" t="s">
        <v>12</v>
      </c>
      <c r="AJ7" s="23"/>
      <c r="AK7" s="23"/>
      <c r="AL7" t="s">
        <v>71</v>
      </c>
    </row>
    <row r="8" spans="1:38" x14ac:dyDescent="0.35">
      <c r="B8" s="2" t="s">
        <v>22</v>
      </c>
      <c r="C8" s="2" t="s">
        <v>23</v>
      </c>
      <c r="D8" s="2" t="s">
        <v>24</v>
      </c>
      <c r="E8" s="2" t="s">
        <v>22</v>
      </c>
      <c r="F8" s="2" t="s">
        <v>23</v>
      </c>
      <c r="G8" s="2" t="s">
        <v>24</v>
      </c>
      <c r="H8" s="2" t="s">
        <v>22</v>
      </c>
      <c r="I8" s="2" t="s">
        <v>23</v>
      </c>
      <c r="J8" s="2" t="s">
        <v>24</v>
      </c>
      <c r="K8" s="2" t="s">
        <v>22</v>
      </c>
      <c r="L8" s="2" t="s">
        <v>23</v>
      </c>
      <c r="M8" s="2" t="s">
        <v>24</v>
      </c>
      <c r="N8" s="2" t="s">
        <v>22</v>
      </c>
      <c r="O8" s="2" t="s">
        <v>23</v>
      </c>
      <c r="P8" s="2" t="s">
        <v>24</v>
      </c>
      <c r="Q8" s="2" t="s">
        <v>22</v>
      </c>
      <c r="R8" s="2" t="s">
        <v>23</v>
      </c>
      <c r="S8" s="2" t="s">
        <v>24</v>
      </c>
      <c r="T8" s="2" t="s">
        <v>22</v>
      </c>
      <c r="U8" s="2" t="s">
        <v>23</v>
      </c>
      <c r="V8" s="2" t="s">
        <v>24</v>
      </c>
      <c r="W8" s="2" t="s">
        <v>22</v>
      </c>
      <c r="X8" s="2" t="s">
        <v>23</v>
      </c>
      <c r="Y8" s="2" t="s">
        <v>24</v>
      </c>
      <c r="Z8" s="2" t="s">
        <v>22</v>
      </c>
      <c r="AA8" s="2" t="s">
        <v>23</v>
      </c>
      <c r="AB8" s="2" t="s">
        <v>24</v>
      </c>
      <c r="AC8" s="2" t="s">
        <v>22</v>
      </c>
      <c r="AD8" s="2" t="s">
        <v>23</v>
      </c>
      <c r="AE8" s="2" t="s">
        <v>24</v>
      </c>
      <c r="AF8" s="2" t="s">
        <v>22</v>
      </c>
      <c r="AG8" s="2" t="s">
        <v>23</v>
      </c>
      <c r="AH8" s="2" t="s">
        <v>24</v>
      </c>
      <c r="AI8" s="2" t="s">
        <v>22</v>
      </c>
      <c r="AJ8" s="2" t="s">
        <v>23</v>
      </c>
      <c r="AK8" s="2" t="s">
        <v>24</v>
      </c>
    </row>
    <row r="9" spans="1:38" x14ac:dyDescent="0.35">
      <c r="A9" s="3" t="s">
        <v>25</v>
      </c>
      <c r="B9" s="4">
        <v>8100</v>
      </c>
      <c r="C9" s="7"/>
      <c r="D9" s="4">
        <v>1600</v>
      </c>
      <c r="E9" s="4">
        <v>15200</v>
      </c>
      <c r="F9" s="7"/>
      <c r="G9" s="4">
        <v>3600</v>
      </c>
      <c r="H9" s="4">
        <v>5300</v>
      </c>
      <c r="I9" s="7"/>
      <c r="J9" s="4">
        <v>1600</v>
      </c>
      <c r="K9" s="4">
        <v>6400</v>
      </c>
      <c r="L9" s="7"/>
      <c r="M9" s="4">
        <v>1400</v>
      </c>
      <c r="N9" s="4">
        <v>4700</v>
      </c>
      <c r="O9" s="7"/>
      <c r="P9" s="4">
        <v>1200</v>
      </c>
      <c r="Q9" s="4">
        <v>3500</v>
      </c>
      <c r="R9" s="7"/>
      <c r="S9" s="4">
        <v>1200</v>
      </c>
      <c r="T9" s="4">
        <v>8400</v>
      </c>
      <c r="U9" s="7"/>
      <c r="V9" s="4">
        <v>1800</v>
      </c>
      <c r="W9" s="4">
        <v>9500</v>
      </c>
      <c r="X9" s="7"/>
      <c r="Y9" s="4">
        <v>2400</v>
      </c>
      <c r="Z9" s="4">
        <v>4600</v>
      </c>
      <c r="AA9" s="7"/>
      <c r="AB9" s="4">
        <v>1500</v>
      </c>
      <c r="AC9" s="4">
        <v>7100</v>
      </c>
      <c r="AD9" s="7"/>
      <c r="AE9" s="4">
        <v>1900</v>
      </c>
      <c r="AF9" s="4">
        <v>3500</v>
      </c>
      <c r="AG9" s="7"/>
      <c r="AH9" s="4">
        <v>1200</v>
      </c>
      <c r="AI9" s="4">
        <v>21100</v>
      </c>
      <c r="AJ9" s="7"/>
      <c r="AK9" s="4">
        <v>3200</v>
      </c>
      <c r="AL9" s="5">
        <f>SUM(B9,E9,H9,K9,N9,Q9,T9,W9,Z9,AC9,AF9,AI9)</f>
        <v>97400</v>
      </c>
    </row>
    <row r="10" spans="1:38" x14ac:dyDescent="0.35">
      <c r="A10" s="3" t="s">
        <v>26</v>
      </c>
      <c r="B10" s="4">
        <v>7800</v>
      </c>
      <c r="C10" s="7"/>
      <c r="D10" s="4">
        <v>1700</v>
      </c>
      <c r="E10" s="4">
        <v>17500</v>
      </c>
      <c r="F10" s="7"/>
      <c r="G10" s="4">
        <v>4100</v>
      </c>
      <c r="H10" s="4">
        <v>5100</v>
      </c>
      <c r="I10" s="7"/>
      <c r="J10" s="4">
        <v>1600</v>
      </c>
      <c r="K10" s="4">
        <v>5700</v>
      </c>
      <c r="L10" s="7"/>
      <c r="M10" s="4">
        <v>1400</v>
      </c>
      <c r="N10" s="4">
        <v>4800</v>
      </c>
      <c r="O10" s="7"/>
      <c r="P10" s="4">
        <v>1400</v>
      </c>
      <c r="Q10" s="4">
        <v>4600</v>
      </c>
      <c r="R10" s="7"/>
      <c r="S10" s="4">
        <v>1500</v>
      </c>
      <c r="T10" s="4">
        <v>8500</v>
      </c>
      <c r="U10" s="7"/>
      <c r="V10" s="4">
        <v>1800</v>
      </c>
      <c r="W10" s="4">
        <v>9300</v>
      </c>
      <c r="X10" s="7"/>
      <c r="Y10" s="4">
        <v>2400</v>
      </c>
      <c r="Z10" s="4">
        <v>4800</v>
      </c>
      <c r="AA10" s="7"/>
      <c r="AB10" s="4">
        <v>1500</v>
      </c>
      <c r="AC10" s="4">
        <v>8500</v>
      </c>
      <c r="AD10" s="7"/>
      <c r="AE10" s="4">
        <v>2100</v>
      </c>
      <c r="AF10" s="4">
        <v>4100</v>
      </c>
      <c r="AG10" s="7"/>
      <c r="AH10" s="4">
        <v>1300</v>
      </c>
      <c r="AI10" s="4">
        <v>22200</v>
      </c>
      <c r="AJ10" s="7"/>
      <c r="AK10" s="4">
        <v>3400</v>
      </c>
      <c r="AL10" s="5">
        <f t="shared" ref="AL10:AL30" si="0">SUM(B10,E10,H10,K10,N10,Q10,T10,W10,Z10,AC10,AF10,AI10)</f>
        <v>102900</v>
      </c>
    </row>
    <row r="11" spans="1:38" x14ac:dyDescent="0.35">
      <c r="A11" s="3" t="s">
        <v>27</v>
      </c>
      <c r="B11" s="4">
        <v>8100</v>
      </c>
      <c r="C11" s="7"/>
      <c r="D11" s="4">
        <v>1800</v>
      </c>
      <c r="E11" s="4">
        <v>14100</v>
      </c>
      <c r="F11" s="7"/>
      <c r="G11" s="4">
        <v>3800</v>
      </c>
      <c r="H11" s="4">
        <v>3200</v>
      </c>
      <c r="I11" s="7"/>
      <c r="J11" s="4" t="s">
        <v>28</v>
      </c>
      <c r="K11" s="4">
        <v>5200</v>
      </c>
      <c r="L11" s="7"/>
      <c r="M11" s="4">
        <v>2500</v>
      </c>
      <c r="N11" s="4">
        <v>4700</v>
      </c>
      <c r="O11" s="7"/>
      <c r="P11" s="4">
        <v>2300</v>
      </c>
      <c r="Q11" s="4">
        <v>4000</v>
      </c>
      <c r="R11" s="7"/>
      <c r="S11" s="4">
        <v>2300</v>
      </c>
      <c r="T11" s="4">
        <v>8900</v>
      </c>
      <c r="U11" s="7"/>
      <c r="V11" s="4">
        <v>1900</v>
      </c>
      <c r="W11" s="4">
        <v>10000</v>
      </c>
      <c r="X11" s="7"/>
      <c r="Y11" s="4">
        <v>2400</v>
      </c>
      <c r="Z11" s="4">
        <v>5600</v>
      </c>
      <c r="AA11" s="7"/>
      <c r="AB11" s="4">
        <v>2300</v>
      </c>
      <c r="AC11" s="4">
        <v>8200</v>
      </c>
      <c r="AD11" s="7"/>
      <c r="AE11" s="4">
        <v>2000</v>
      </c>
      <c r="AF11" s="4">
        <v>2000</v>
      </c>
      <c r="AG11" s="7"/>
      <c r="AH11" s="4" t="s">
        <v>28</v>
      </c>
      <c r="AI11" s="4">
        <v>21000</v>
      </c>
      <c r="AJ11" s="7"/>
      <c r="AK11" s="4">
        <v>5000</v>
      </c>
      <c r="AL11" s="5">
        <f t="shared" si="0"/>
        <v>95000</v>
      </c>
    </row>
    <row r="12" spans="1:38" x14ac:dyDescent="0.35">
      <c r="A12" s="3" t="s">
        <v>29</v>
      </c>
      <c r="B12" s="4">
        <v>9000</v>
      </c>
      <c r="C12" s="7"/>
      <c r="D12" s="4">
        <v>1900</v>
      </c>
      <c r="E12" s="4">
        <v>17300</v>
      </c>
      <c r="F12" s="7"/>
      <c r="G12" s="4">
        <v>4000</v>
      </c>
      <c r="H12" s="4">
        <v>3000</v>
      </c>
      <c r="I12" s="7"/>
      <c r="J12" s="4">
        <v>1900</v>
      </c>
      <c r="K12" s="4">
        <v>5800</v>
      </c>
      <c r="L12" s="7"/>
      <c r="M12" s="4">
        <v>2900</v>
      </c>
      <c r="N12" s="4">
        <v>4900</v>
      </c>
      <c r="O12" s="7"/>
      <c r="P12" s="4">
        <v>2400</v>
      </c>
      <c r="Q12" s="4">
        <v>4100</v>
      </c>
      <c r="R12" s="7"/>
      <c r="S12" s="4">
        <v>2100</v>
      </c>
      <c r="T12" s="4">
        <v>9800</v>
      </c>
      <c r="U12" s="7"/>
      <c r="V12" s="4">
        <v>2100</v>
      </c>
      <c r="W12" s="4">
        <v>11800</v>
      </c>
      <c r="X12" s="7"/>
      <c r="Y12" s="4">
        <v>2600</v>
      </c>
      <c r="Z12" s="4">
        <v>7300</v>
      </c>
      <c r="AA12" s="7"/>
      <c r="AB12" s="4">
        <v>2800</v>
      </c>
      <c r="AC12" s="4">
        <v>5900</v>
      </c>
      <c r="AD12" s="7"/>
      <c r="AE12" s="4">
        <v>1700</v>
      </c>
      <c r="AF12" s="4">
        <v>3100</v>
      </c>
      <c r="AG12" s="7"/>
      <c r="AH12" s="4">
        <v>1800</v>
      </c>
      <c r="AI12" s="4">
        <v>25800</v>
      </c>
      <c r="AJ12" s="7"/>
      <c r="AK12" s="4">
        <v>5400</v>
      </c>
      <c r="AL12" s="5">
        <f t="shared" si="0"/>
        <v>107800</v>
      </c>
    </row>
    <row r="13" spans="1:38" x14ac:dyDescent="0.35">
      <c r="A13" s="3" t="s">
        <v>30</v>
      </c>
      <c r="B13" s="4">
        <v>7900</v>
      </c>
      <c r="C13" s="7"/>
      <c r="D13" s="4">
        <v>1800</v>
      </c>
      <c r="E13" s="4">
        <v>17000</v>
      </c>
      <c r="F13" s="7"/>
      <c r="G13" s="4">
        <v>4100</v>
      </c>
      <c r="H13" s="4">
        <v>2800</v>
      </c>
      <c r="I13" s="7"/>
      <c r="J13" s="4" t="s">
        <v>28</v>
      </c>
      <c r="K13" s="4">
        <v>4000</v>
      </c>
      <c r="L13" s="7"/>
      <c r="M13" s="4">
        <v>2300</v>
      </c>
      <c r="N13" s="4">
        <v>4400</v>
      </c>
      <c r="O13" s="7"/>
      <c r="P13" s="4">
        <v>2400</v>
      </c>
      <c r="Q13" s="4">
        <v>5600</v>
      </c>
      <c r="R13" s="7"/>
      <c r="S13" s="4">
        <v>2700</v>
      </c>
      <c r="T13" s="4">
        <v>8600</v>
      </c>
      <c r="U13" s="7"/>
      <c r="V13" s="4">
        <v>1900</v>
      </c>
      <c r="W13" s="4">
        <v>11000</v>
      </c>
      <c r="X13" s="7"/>
      <c r="Y13" s="4">
        <v>2500</v>
      </c>
      <c r="Z13" s="4">
        <v>9900</v>
      </c>
      <c r="AA13" s="7"/>
      <c r="AB13" s="4">
        <v>3500</v>
      </c>
      <c r="AC13" s="4">
        <v>6300</v>
      </c>
      <c r="AD13" s="7"/>
      <c r="AE13" s="4">
        <v>1800</v>
      </c>
      <c r="AF13" s="4">
        <v>3000</v>
      </c>
      <c r="AG13" s="7"/>
      <c r="AH13" s="4">
        <v>1900</v>
      </c>
      <c r="AI13" s="4">
        <v>25400</v>
      </c>
      <c r="AJ13" s="7"/>
      <c r="AK13" s="4">
        <v>5300</v>
      </c>
      <c r="AL13" s="5">
        <f t="shared" si="0"/>
        <v>105900</v>
      </c>
    </row>
    <row r="14" spans="1:38" x14ac:dyDescent="0.35">
      <c r="A14" s="3" t="s">
        <v>31</v>
      </c>
      <c r="B14" s="4">
        <v>8300</v>
      </c>
      <c r="C14" s="7"/>
      <c r="D14" s="4">
        <v>1900</v>
      </c>
      <c r="E14" s="4">
        <v>16800</v>
      </c>
      <c r="F14" s="7"/>
      <c r="G14" s="4">
        <v>4000</v>
      </c>
      <c r="H14" s="4">
        <v>5000</v>
      </c>
      <c r="I14" s="7"/>
      <c r="J14" s="4">
        <v>2700</v>
      </c>
      <c r="K14" s="4">
        <v>4300</v>
      </c>
      <c r="L14" s="7"/>
      <c r="M14" s="4">
        <v>2300</v>
      </c>
      <c r="N14" s="4">
        <v>4600</v>
      </c>
      <c r="O14" s="7"/>
      <c r="P14" s="4">
        <v>2400</v>
      </c>
      <c r="Q14" s="4">
        <v>5100</v>
      </c>
      <c r="R14" s="7"/>
      <c r="S14" s="4">
        <v>2700</v>
      </c>
      <c r="T14" s="4">
        <v>8500</v>
      </c>
      <c r="U14" s="7"/>
      <c r="V14" s="4">
        <v>2000</v>
      </c>
      <c r="W14" s="4">
        <v>11200</v>
      </c>
      <c r="X14" s="7"/>
      <c r="Y14" s="4">
        <v>2700</v>
      </c>
      <c r="Z14" s="4">
        <v>9700</v>
      </c>
      <c r="AA14" s="7"/>
      <c r="AB14" s="4">
        <v>3200</v>
      </c>
      <c r="AC14" s="4">
        <v>5700</v>
      </c>
      <c r="AD14" s="7"/>
      <c r="AE14" s="4">
        <v>1700</v>
      </c>
      <c r="AF14" s="4">
        <v>3100</v>
      </c>
      <c r="AG14" s="7"/>
      <c r="AH14" s="4" t="s">
        <v>28</v>
      </c>
      <c r="AI14" s="4">
        <v>23100</v>
      </c>
      <c r="AJ14" s="7"/>
      <c r="AK14" s="4">
        <v>5200</v>
      </c>
      <c r="AL14" s="5">
        <f t="shared" si="0"/>
        <v>105400</v>
      </c>
    </row>
    <row r="15" spans="1:38" x14ac:dyDescent="0.35">
      <c r="A15" s="3" t="s">
        <v>32</v>
      </c>
      <c r="B15" s="4">
        <v>8300</v>
      </c>
      <c r="C15" s="7"/>
      <c r="D15" s="4">
        <v>2000</v>
      </c>
      <c r="E15" s="4">
        <v>11900</v>
      </c>
      <c r="F15" s="7"/>
      <c r="G15" s="4">
        <v>3600</v>
      </c>
      <c r="H15" s="4">
        <v>3200</v>
      </c>
      <c r="I15" s="7"/>
      <c r="J15" s="4" t="s">
        <v>28</v>
      </c>
      <c r="K15" s="4">
        <v>4000</v>
      </c>
      <c r="L15" s="7"/>
      <c r="M15" s="4">
        <v>2200</v>
      </c>
      <c r="N15" s="4">
        <v>3400</v>
      </c>
      <c r="O15" s="7"/>
      <c r="P15" s="4">
        <v>2000</v>
      </c>
      <c r="Q15" s="4">
        <v>5300</v>
      </c>
      <c r="R15" s="7"/>
      <c r="S15" s="4">
        <v>2800</v>
      </c>
      <c r="T15" s="4">
        <v>10800</v>
      </c>
      <c r="U15" s="7"/>
      <c r="V15" s="4">
        <v>2300</v>
      </c>
      <c r="W15" s="4">
        <v>9100</v>
      </c>
      <c r="X15" s="7"/>
      <c r="Y15" s="4">
        <v>2400</v>
      </c>
      <c r="Z15" s="4">
        <v>9800</v>
      </c>
      <c r="AA15" s="7"/>
      <c r="AB15" s="4">
        <v>3400</v>
      </c>
      <c r="AC15" s="4">
        <v>6800</v>
      </c>
      <c r="AD15" s="7"/>
      <c r="AE15" s="4">
        <v>2100</v>
      </c>
      <c r="AF15" s="4">
        <v>3600</v>
      </c>
      <c r="AG15" s="7"/>
      <c r="AH15" s="4" t="s">
        <v>28</v>
      </c>
      <c r="AI15" s="4">
        <v>22000</v>
      </c>
      <c r="AJ15" s="7"/>
      <c r="AK15" s="4">
        <v>5100</v>
      </c>
      <c r="AL15" s="5">
        <f t="shared" si="0"/>
        <v>98200</v>
      </c>
    </row>
    <row r="16" spans="1:38" x14ac:dyDescent="0.35">
      <c r="A16" s="3" t="s">
        <v>33</v>
      </c>
      <c r="B16" s="4">
        <v>9600</v>
      </c>
      <c r="C16" s="7"/>
      <c r="D16" s="4">
        <v>2200</v>
      </c>
      <c r="E16" s="4">
        <v>17000</v>
      </c>
      <c r="F16" s="7"/>
      <c r="G16" s="4">
        <v>4300</v>
      </c>
      <c r="H16" s="4">
        <v>7200</v>
      </c>
      <c r="I16" s="7"/>
      <c r="J16" s="4">
        <v>3600</v>
      </c>
      <c r="K16" s="4">
        <v>5100</v>
      </c>
      <c r="L16" s="7"/>
      <c r="M16" s="4">
        <v>2800</v>
      </c>
      <c r="N16" s="4">
        <v>6100</v>
      </c>
      <c r="O16" s="7"/>
      <c r="P16" s="4">
        <v>3000</v>
      </c>
      <c r="Q16" s="4">
        <v>2400</v>
      </c>
      <c r="R16" s="7"/>
      <c r="S16" s="4" t="s">
        <v>28</v>
      </c>
      <c r="T16" s="4">
        <v>11300</v>
      </c>
      <c r="U16" s="7"/>
      <c r="V16" s="4">
        <v>2400</v>
      </c>
      <c r="W16" s="4">
        <v>9400</v>
      </c>
      <c r="X16" s="7"/>
      <c r="Y16" s="4">
        <v>2600</v>
      </c>
      <c r="Z16" s="4">
        <v>6400</v>
      </c>
      <c r="AA16" s="7"/>
      <c r="AB16" s="4">
        <v>3000</v>
      </c>
      <c r="AC16" s="4">
        <v>7800</v>
      </c>
      <c r="AD16" s="7"/>
      <c r="AE16" s="4">
        <v>2000</v>
      </c>
      <c r="AF16" s="4">
        <v>2200</v>
      </c>
      <c r="AG16" s="7"/>
      <c r="AH16" s="4" t="s">
        <v>28</v>
      </c>
      <c r="AI16" s="4">
        <v>24600</v>
      </c>
      <c r="AJ16" s="7"/>
      <c r="AK16" s="4">
        <v>5700</v>
      </c>
      <c r="AL16" s="5">
        <f t="shared" si="0"/>
        <v>109100</v>
      </c>
    </row>
    <row r="17" spans="1:38" x14ac:dyDescent="0.35">
      <c r="A17" s="3" t="s">
        <v>34</v>
      </c>
      <c r="B17" s="4">
        <v>10100</v>
      </c>
      <c r="C17" s="7"/>
      <c r="D17" s="4">
        <v>2000</v>
      </c>
      <c r="E17" s="4">
        <v>16300</v>
      </c>
      <c r="F17" s="7"/>
      <c r="G17" s="4">
        <v>4500</v>
      </c>
      <c r="H17" s="4">
        <v>5900</v>
      </c>
      <c r="I17" s="7"/>
      <c r="J17" s="4">
        <v>2900</v>
      </c>
      <c r="K17" s="4">
        <v>5400</v>
      </c>
      <c r="L17" s="7"/>
      <c r="M17" s="4">
        <v>2900</v>
      </c>
      <c r="N17" s="4">
        <v>5200</v>
      </c>
      <c r="O17" s="7"/>
      <c r="P17" s="4">
        <v>2600</v>
      </c>
      <c r="Q17" s="4">
        <v>2500</v>
      </c>
      <c r="R17" s="7"/>
      <c r="S17" s="4" t="s">
        <v>28</v>
      </c>
      <c r="T17" s="4">
        <v>8500</v>
      </c>
      <c r="U17" s="7"/>
      <c r="V17" s="4">
        <v>2100</v>
      </c>
      <c r="W17" s="4">
        <v>10000</v>
      </c>
      <c r="X17" s="7"/>
      <c r="Y17" s="4">
        <v>2800</v>
      </c>
      <c r="Z17" s="4">
        <v>8600</v>
      </c>
      <c r="AA17" s="7"/>
      <c r="AB17" s="4">
        <v>3500</v>
      </c>
      <c r="AC17" s="4">
        <v>8500</v>
      </c>
      <c r="AD17" s="7"/>
      <c r="AE17" s="4">
        <v>2200</v>
      </c>
      <c r="AF17" s="4">
        <v>3700</v>
      </c>
      <c r="AG17" s="7"/>
      <c r="AH17" s="4">
        <v>2100</v>
      </c>
      <c r="AI17" s="4">
        <v>20200</v>
      </c>
      <c r="AJ17" s="7"/>
      <c r="AK17" s="4">
        <v>4800</v>
      </c>
      <c r="AL17" s="5">
        <f t="shared" si="0"/>
        <v>104900</v>
      </c>
    </row>
    <row r="18" spans="1:38" x14ac:dyDescent="0.35">
      <c r="A18" s="3" t="s">
        <v>35</v>
      </c>
      <c r="B18" s="4">
        <v>11000</v>
      </c>
      <c r="C18" s="7"/>
      <c r="D18" s="4">
        <v>2000</v>
      </c>
      <c r="E18" s="4">
        <v>19700</v>
      </c>
      <c r="F18" s="7"/>
      <c r="G18" s="4">
        <v>4900</v>
      </c>
      <c r="H18" s="4">
        <v>3300</v>
      </c>
      <c r="I18" s="7"/>
      <c r="J18" s="4" t="s">
        <v>28</v>
      </c>
      <c r="K18" s="4">
        <v>8500</v>
      </c>
      <c r="L18" s="7"/>
      <c r="M18" s="4">
        <v>3400</v>
      </c>
      <c r="N18" s="4">
        <v>3900</v>
      </c>
      <c r="O18" s="7"/>
      <c r="P18" s="4">
        <v>2300</v>
      </c>
      <c r="Q18" s="4">
        <v>2700</v>
      </c>
      <c r="R18" s="7"/>
      <c r="S18" s="4" t="s">
        <v>28</v>
      </c>
      <c r="T18" s="4">
        <v>6800</v>
      </c>
      <c r="U18" s="7"/>
      <c r="V18" s="4">
        <v>1900</v>
      </c>
      <c r="W18" s="4">
        <v>10800</v>
      </c>
      <c r="X18" s="7"/>
      <c r="Y18" s="4">
        <v>2800</v>
      </c>
      <c r="Z18" s="4">
        <v>8900</v>
      </c>
      <c r="AA18" s="7"/>
      <c r="AB18" s="4">
        <v>3700</v>
      </c>
      <c r="AC18" s="4">
        <v>9700</v>
      </c>
      <c r="AD18" s="7"/>
      <c r="AE18" s="4">
        <v>2400</v>
      </c>
      <c r="AF18" s="4">
        <v>4000</v>
      </c>
      <c r="AG18" s="7"/>
      <c r="AH18" s="4">
        <v>2300</v>
      </c>
      <c r="AI18" s="4">
        <v>23500</v>
      </c>
      <c r="AJ18" s="7"/>
      <c r="AK18" s="4">
        <v>5000</v>
      </c>
      <c r="AL18" s="5">
        <f t="shared" si="0"/>
        <v>112800</v>
      </c>
    </row>
    <row r="19" spans="1:38" x14ac:dyDescent="0.35">
      <c r="A19" s="3" t="s">
        <v>36</v>
      </c>
      <c r="B19" s="4">
        <v>11600</v>
      </c>
      <c r="C19" s="7"/>
      <c r="D19" s="4">
        <v>2000</v>
      </c>
      <c r="E19" s="4">
        <v>20800</v>
      </c>
      <c r="F19" s="7"/>
      <c r="G19" s="4">
        <v>5000</v>
      </c>
      <c r="H19" s="4">
        <v>4500</v>
      </c>
      <c r="I19" s="7"/>
      <c r="J19" s="4">
        <v>2600</v>
      </c>
      <c r="K19" s="4">
        <v>9000</v>
      </c>
      <c r="L19" s="7"/>
      <c r="M19" s="4">
        <v>3500</v>
      </c>
      <c r="N19" s="4">
        <v>4100</v>
      </c>
      <c r="O19" s="7"/>
      <c r="P19" s="4">
        <v>2500</v>
      </c>
      <c r="Q19" s="4">
        <v>3900</v>
      </c>
      <c r="R19" s="7"/>
      <c r="S19" s="4" t="s">
        <v>28</v>
      </c>
      <c r="T19" s="4">
        <v>6300</v>
      </c>
      <c r="U19" s="7"/>
      <c r="V19" s="4">
        <v>1900</v>
      </c>
      <c r="W19" s="4">
        <v>10000</v>
      </c>
      <c r="X19" s="7"/>
      <c r="Y19" s="4">
        <v>2800</v>
      </c>
      <c r="Z19" s="4">
        <v>9900</v>
      </c>
      <c r="AA19" s="7"/>
      <c r="AB19" s="4">
        <v>4000</v>
      </c>
      <c r="AC19" s="4">
        <v>10500</v>
      </c>
      <c r="AD19" s="7"/>
      <c r="AE19" s="4">
        <v>2300</v>
      </c>
      <c r="AF19" s="4">
        <v>4000</v>
      </c>
      <c r="AG19" s="7"/>
      <c r="AH19" s="4">
        <v>2300</v>
      </c>
      <c r="AI19" s="4">
        <v>21500</v>
      </c>
      <c r="AJ19" s="7"/>
      <c r="AK19" s="4">
        <v>4700</v>
      </c>
      <c r="AL19" s="5">
        <f t="shared" si="0"/>
        <v>116100</v>
      </c>
    </row>
    <row r="20" spans="1:38" x14ac:dyDescent="0.35">
      <c r="A20" s="3" t="s">
        <v>37</v>
      </c>
      <c r="B20" s="4">
        <v>10500</v>
      </c>
      <c r="C20" s="7"/>
      <c r="D20" s="4">
        <v>1900</v>
      </c>
      <c r="E20" s="4">
        <v>20900</v>
      </c>
      <c r="F20" s="7"/>
      <c r="G20" s="4">
        <v>5200</v>
      </c>
      <c r="H20" s="4">
        <v>5100</v>
      </c>
      <c r="I20" s="7"/>
      <c r="J20" s="4">
        <v>2700</v>
      </c>
      <c r="K20" s="4">
        <v>7100</v>
      </c>
      <c r="L20" s="7"/>
      <c r="M20" s="4">
        <v>3300</v>
      </c>
      <c r="N20" s="4">
        <v>5200</v>
      </c>
      <c r="O20" s="7"/>
      <c r="P20" s="4">
        <v>2600</v>
      </c>
      <c r="Q20" s="4">
        <v>3700</v>
      </c>
      <c r="R20" s="7"/>
      <c r="S20" s="4" t="s">
        <v>28</v>
      </c>
      <c r="T20" s="4">
        <v>8600</v>
      </c>
      <c r="U20" s="7"/>
      <c r="V20" s="4">
        <v>2300</v>
      </c>
      <c r="W20" s="4">
        <v>11500</v>
      </c>
      <c r="X20" s="7"/>
      <c r="Y20" s="4">
        <v>2900</v>
      </c>
      <c r="Z20" s="4">
        <v>10200</v>
      </c>
      <c r="AA20" s="7"/>
      <c r="AB20" s="4">
        <v>3800</v>
      </c>
      <c r="AC20" s="4">
        <v>10000</v>
      </c>
      <c r="AD20" s="7"/>
      <c r="AE20" s="4">
        <v>2200</v>
      </c>
      <c r="AF20" s="4">
        <v>4200</v>
      </c>
      <c r="AG20" s="7"/>
      <c r="AH20" s="4">
        <v>2400</v>
      </c>
      <c r="AI20" s="4">
        <v>23000</v>
      </c>
      <c r="AJ20" s="7"/>
      <c r="AK20" s="4">
        <v>4700</v>
      </c>
      <c r="AL20" s="5">
        <f t="shared" si="0"/>
        <v>120000</v>
      </c>
    </row>
    <row r="21" spans="1:38" x14ac:dyDescent="0.35">
      <c r="A21" s="3" t="s">
        <v>38</v>
      </c>
      <c r="B21" s="4">
        <v>10500</v>
      </c>
      <c r="C21" s="7"/>
      <c r="D21" s="4">
        <v>2000</v>
      </c>
      <c r="E21" s="4">
        <v>23900</v>
      </c>
      <c r="F21" s="7"/>
      <c r="G21" s="4">
        <v>5600</v>
      </c>
      <c r="H21" s="4">
        <v>3500</v>
      </c>
      <c r="I21" s="7"/>
      <c r="J21" s="4">
        <v>2300</v>
      </c>
      <c r="K21" s="4">
        <v>6100</v>
      </c>
      <c r="L21" s="7"/>
      <c r="M21" s="4">
        <v>3500</v>
      </c>
      <c r="N21" s="4">
        <v>5400</v>
      </c>
      <c r="O21" s="7"/>
      <c r="P21" s="4">
        <v>2600</v>
      </c>
      <c r="Q21" s="4">
        <v>1900</v>
      </c>
      <c r="R21" s="7"/>
      <c r="S21" s="4" t="s">
        <v>28</v>
      </c>
      <c r="T21" s="4">
        <v>12900</v>
      </c>
      <c r="U21" s="7"/>
      <c r="V21" s="4">
        <v>2800</v>
      </c>
      <c r="W21" s="4">
        <v>9900</v>
      </c>
      <c r="X21" s="7"/>
      <c r="Y21" s="4">
        <v>2900</v>
      </c>
      <c r="Z21" s="4">
        <v>10100</v>
      </c>
      <c r="AA21" s="7"/>
      <c r="AB21" s="4">
        <v>4000</v>
      </c>
      <c r="AC21" s="4">
        <v>10300</v>
      </c>
      <c r="AD21" s="7"/>
      <c r="AE21" s="4">
        <v>2400</v>
      </c>
      <c r="AF21" s="4">
        <v>5200</v>
      </c>
      <c r="AG21" s="7"/>
      <c r="AH21" s="4">
        <v>2600</v>
      </c>
      <c r="AI21" s="4">
        <v>23600</v>
      </c>
      <c r="AJ21" s="7"/>
      <c r="AK21" s="4">
        <v>5000</v>
      </c>
      <c r="AL21" s="5">
        <f t="shared" si="0"/>
        <v>123300</v>
      </c>
    </row>
    <row r="22" spans="1:38" x14ac:dyDescent="0.35">
      <c r="A22" s="3" t="s">
        <v>39</v>
      </c>
      <c r="B22" s="4">
        <v>9800</v>
      </c>
      <c r="C22" s="7"/>
      <c r="D22" s="4">
        <v>2000</v>
      </c>
      <c r="E22" s="4">
        <v>27600</v>
      </c>
      <c r="F22" s="7"/>
      <c r="G22" s="4">
        <v>5900</v>
      </c>
      <c r="H22" s="4">
        <v>6900</v>
      </c>
      <c r="I22" s="7"/>
      <c r="J22" s="4">
        <v>3300</v>
      </c>
      <c r="K22" s="4">
        <v>6100</v>
      </c>
      <c r="L22" s="7"/>
      <c r="M22" s="4">
        <v>3200</v>
      </c>
      <c r="N22" s="4">
        <v>3200</v>
      </c>
      <c r="O22" s="7"/>
      <c r="P22" s="4">
        <v>2000</v>
      </c>
      <c r="Q22" s="4">
        <v>4000</v>
      </c>
      <c r="R22" s="7"/>
      <c r="S22" s="4" t="s">
        <v>28</v>
      </c>
      <c r="T22" s="4">
        <v>11000</v>
      </c>
      <c r="U22" s="7"/>
      <c r="V22" s="4">
        <v>2500</v>
      </c>
      <c r="W22" s="4">
        <v>7900</v>
      </c>
      <c r="X22" s="7"/>
      <c r="Y22" s="4">
        <v>2400</v>
      </c>
      <c r="Z22" s="4">
        <v>7600</v>
      </c>
      <c r="AA22" s="7"/>
      <c r="AB22" s="4">
        <v>3100</v>
      </c>
      <c r="AC22" s="4">
        <v>7800</v>
      </c>
      <c r="AD22" s="7"/>
      <c r="AE22" s="4">
        <v>2000</v>
      </c>
      <c r="AF22" s="4">
        <v>4900</v>
      </c>
      <c r="AG22" s="7"/>
      <c r="AH22" s="4">
        <v>2400</v>
      </c>
      <c r="AI22" s="4">
        <v>27000</v>
      </c>
      <c r="AJ22" s="7"/>
      <c r="AK22" s="4">
        <v>5400</v>
      </c>
      <c r="AL22" s="5">
        <f t="shared" si="0"/>
        <v>123800</v>
      </c>
    </row>
    <row r="23" spans="1:38" x14ac:dyDescent="0.35">
      <c r="A23" s="3" t="s">
        <v>40</v>
      </c>
      <c r="B23" s="4">
        <v>9600</v>
      </c>
      <c r="C23" s="7"/>
      <c r="D23" s="4">
        <v>2100</v>
      </c>
      <c r="E23" s="4">
        <v>22600</v>
      </c>
      <c r="F23" s="7"/>
      <c r="G23" s="4">
        <v>5100</v>
      </c>
      <c r="H23" s="4">
        <v>4900</v>
      </c>
      <c r="I23" s="7"/>
      <c r="J23" s="4">
        <v>2700</v>
      </c>
      <c r="K23" s="4">
        <v>7500</v>
      </c>
      <c r="L23" s="7"/>
      <c r="M23" s="4">
        <v>3500</v>
      </c>
      <c r="N23" s="4">
        <v>6500</v>
      </c>
      <c r="O23" s="7"/>
      <c r="P23" s="4">
        <v>3300</v>
      </c>
      <c r="Q23" s="4">
        <v>6300</v>
      </c>
      <c r="R23" s="7"/>
      <c r="S23" s="4">
        <v>3200</v>
      </c>
      <c r="T23" s="4">
        <v>11500</v>
      </c>
      <c r="U23" s="7"/>
      <c r="V23" s="4">
        <v>2500</v>
      </c>
      <c r="W23" s="4">
        <v>10800</v>
      </c>
      <c r="X23" s="7"/>
      <c r="Y23" s="4">
        <v>2800</v>
      </c>
      <c r="Z23" s="4">
        <v>8200</v>
      </c>
      <c r="AA23" s="7"/>
      <c r="AB23" s="4">
        <v>3600</v>
      </c>
      <c r="AC23" s="4">
        <v>8000</v>
      </c>
      <c r="AD23" s="7"/>
      <c r="AE23" s="4">
        <v>2100</v>
      </c>
      <c r="AF23" s="4">
        <v>6600</v>
      </c>
      <c r="AG23" s="7"/>
      <c r="AH23" s="4">
        <v>2900</v>
      </c>
      <c r="AI23" s="4">
        <v>23800</v>
      </c>
      <c r="AJ23" s="7"/>
      <c r="AK23" s="4">
        <v>5300</v>
      </c>
      <c r="AL23" s="5">
        <f t="shared" si="0"/>
        <v>126300</v>
      </c>
    </row>
    <row r="24" spans="1:38" x14ac:dyDescent="0.35">
      <c r="A24" s="3" t="s">
        <v>41</v>
      </c>
      <c r="B24" s="4">
        <v>10600</v>
      </c>
      <c r="C24" s="7"/>
      <c r="D24" s="4">
        <v>2300</v>
      </c>
      <c r="E24" s="4">
        <v>22100</v>
      </c>
      <c r="F24" s="7"/>
      <c r="G24" s="4">
        <v>5100</v>
      </c>
      <c r="H24" s="4">
        <v>6500</v>
      </c>
      <c r="I24" s="7"/>
      <c r="J24" s="4">
        <v>3100</v>
      </c>
      <c r="K24" s="4">
        <v>8000</v>
      </c>
      <c r="L24" s="7"/>
      <c r="M24" s="4">
        <v>3400</v>
      </c>
      <c r="N24" s="4">
        <v>4600</v>
      </c>
      <c r="O24" s="7"/>
      <c r="P24" s="4">
        <v>2700</v>
      </c>
      <c r="Q24" s="4">
        <v>6300</v>
      </c>
      <c r="R24" s="7"/>
      <c r="S24" s="4">
        <v>3100</v>
      </c>
      <c r="T24" s="4">
        <v>12500</v>
      </c>
      <c r="U24" s="7"/>
      <c r="V24" s="4">
        <v>2600</v>
      </c>
      <c r="W24" s="4">
        <v>15500</v>
      </c>
      <c r="X24" s="7"/>
      <c r="Y24" s="4">
        <v>3500</v>
      </c>
      <c r="Z24" s="4">
        <v>4900</v>
      </c>
      <c r="AA24" s="7"/>
      <c r="AB24" s="4">
        <v>2800</v>
      </c>
      <c r="AC24" s="4">
        <v>7500</v>
      </c>
      <c r="AD24" s="7"/>
      <c r="AE24" s="4">
        <v>2000</v>
      </c>
      <c r="AF24" s="4">
        <v>6300</v>
      </c>
      <c r="AG24" s="7"/>
      <c r="AH24" s="4">
        <v>2900</v>
      </c>
      <c r="AI24" s="4">
        <v>27400</v>
      </c>
      <c r="AJ24" s="7"/>
      <c r="AK24" s="4">
        <v>5900</v>
      </c>
      <c r="AL24" s="5">
        <f t="shared" si="0"/>
        <v>132200</v>
      </c>
    </row>
    <row r="25" spans="1:38" x14ac:dyDescent="0.35">
      <c r="A25" s="3" t="s">
        <v>42</v>
      </c>
      <c r="B25" s="4">
        <v>12600</v>
      </c>
      <c r="C25" s="7"/>
      <c r="D25" s="4">
        <v>2800</v>
      </c>
      <c r="E25" s="4">
        <v>17300</v>
      </c>
      <c r="F25" s="7"/>
      <c r="G25" s="4">
        <v>5100</v>
      </c>
      <c r="H25" s="4">
        <v>3600</v>
      </c>
      <c r="I25" s="7"/>
      <c r="J25" s="4">
        <v>2300</v>
      </c>
      <c r="K25" s="4">
        <v>6200</v>
      </c>
      <c r="L25" s="7"/>
      <c r="M25" s="4">
        <v>3100</v>
      </c>
      <c r="N25" s="4">
        <v>2100</v>
      </c>
      <c r="O25" s="7"/>
      <c r="P25" s="4" t="s">
        <v>28</v>
      </c>
      <c r="Q25" s="4">
        <v>4900</v>
      </c>
      <c r="R25" s="7"/>
      <c r="S25" s="4" t="s">
        <v>28</v>
      </c>
      <c r="T25" s="4">
        <v>11400</v>
      </c>
      <c r="U25" s="7"/>
      <c r="V25" s="4">
        <v>2700</v>
      </c>
      <c r="W25" s="4">
        <v>8000</v>
      </c>
      <c r="X25" s="7"/>
      <c r="Y25" s="4">
        <v>2800</v>
      </c>
      <c r="Z25" s="4">
        <v>4500</v>
      </c>
      <c r="AA25" s="7"/>
      <c r="AB25" s="4">
        <v>2500</v>
      </c>
      <c r="AC25" s="4">
        <v>7900</v>
      </c>
      <c r="AD25" s="7"/>
      <c r="AE25" s="4">
        <v>2400</v>
      </c>
      <c r="AF25" s="4">
        <v>2900</v>
      </c>
      <c r="AG25" s="7"/>
      <c r="AH25" s="4">
        <v>2000</v>
      </c>
      <c r="AI25" s="4">
        <v>28600</v>
      </c>
      <c r="AJ25" s="7"/>
      <c r="AK25" s="4">
        <v>6300</v>
      </c>
      <c r="AL25" s="5">
        <f t="shared" si="0"/>
        <v>110000</v>
      </c>
    </row>
    <row r="26" spans="1:38" x14ac:dyDescent="0.35">
      <c r="A26" s="3" t="s">
        <v>43</v>
      </c>
      <c r="B26" s="4">
        <v>9100</v>
      </c>
      <c r="C26" s="7"/>
      <c r="D26" s="4">
        <v>2400</v>
      </c>
      <c r="E26" s="4">
        <v>13200</v>
      </c>
      <c r="F26" s="7"/>
      <c r="G26" s="4">
        <v>4300</v>
      </c>
      <c r="H26" s="4">
        <v>1600</v>
      </c>
      <c r="I26" s="7"/>
      <c r="J26" s="4" t="s">
        <v>28</v>
      </c>
      <c r="K26" s="4">
        <v>6100</v>
      </c>
      <c r="L26" s="7"/>
      <c r="M26" s="4">
        <v>2700</v>
      </c>
      <c r="N26" s="4">
        <v>2800</v>
      </c>
      <c r="O26" s="7"/>
      <c r="P26" s="4">
        <v>1700</v>
      </c>
      <c r="Q26" s="4">
        <v>4100</v>
      </c>
      <c r="R26" s="7"/>
      <c r="S26" s="4" t="s">
        <v>28</v>
      </c>
      <c r="T26" s="4">
        <v>11400</v>
      </c>
      <c r="U26" s="7"/>
      <c r="V26" s="4">
        <v>2800</v>
      </c>
      <c r="W26" s="4">
        <v>12500</v>
      </c>
      <c r="X26" s="7"/>
      <c r="Y26" s="4">
        <v>3200</v>
      </c>
      <c r="Z26" s="4">
        <v>5100</v>
      </c>
      <c r="AA26" s="7"/>
      <c r="AB26" s="4">
        <v>2400</v>
      </c>
      <c r="AC26" s="4">
        <v>6400</v>
      </c>
      <c r="AD26" s="7"/>
      <c r="AE26" s="4">
        <v>2200</v>
      </c>
      <c r="AF26" s="4">
        <v>3700</v>
      </c>
      <c r="AG26" s="7"/>
      <c r="AH26" s="4">
        <v>2200</v>
      </c>
      <c r="AI26" s="4">
        <v>19900</v>
      </c>
      <c r="AJ26" s="7"/>
      <c r="AK26" s="4">
        <v>4900</v>
      </c>
      <c r="AL26" s="5">
        <f t="shared" si="0"/>
        <v>95900</v>
      </c>
    </row>
    <row r="27" spans="1:38" x14ac:dyDescent="0.35">
      <c r="A27" s="3" t="s">
        <v>44</v>
      </c>
      <c r="B27" s="4">
        <v>9900</v>
      </c>
      <c r="C27" s="7"/>
      <c r="D27" s="4">
        <v>2800</v>
      </c>
      <c r="E27" s="4">
        <v>16500</v>
      </c>
      <c r="F27" s="7"/>
      <c r="G27" s="4">
        <v>5000</v>
      </c>
      <c r="H27" s="4">
        <v>3200</v>
      </c>
      <c r="I27" s="7"/>
      <c r="J27" s="4" t="s">
        <v>28</v>
      </c>
      <c r="K27" s="4">
        <v>4400</v>
      </c>
      <c r="L27" s="7"/>
      <c r="M27" s="4">
        <v>2400</v>
      </c>
      <c r="N27" s="4">
        <v>2800</v>
      </c>
      <c r="O27" s="7"/>
      <c r="P27" s="4" t="s">
        <v>28</v>
      </c>
      <c r="Q27" s="4">
        <v>4100</v>
      </c>
      <c r="R27" s="7"/>
      <c r="S27" s="4">
        <v>2500</v>
      </c>
      <c r="T27" s="4">
        <v>9500</v>
      </c>
      <c r="U27" s="7"/>
      <c r="V27" s="4">
        <v>2700</v>
      </c>
      <c r="W27" s="4">
        <v>13900</v>
      </c>
      <c r="X27" s="7"/>
      <c r="Y27" s="4">
        <v>3600</v>
      </c>
      <c r="Z27" s="4">
        <v>5000</v>
      </c>
      <c r="AA27" s="7"/>
      <c r="AB27" s="4">
        <v>2500</v>
      </c>
      <c r="AC27" s="4">
        <v>7100</v>
      </c>
      <c r="AD27" s="7"/>
      <c r="AE27" s="4">
        <v>2600</v>
      </c>
      <c r="AF27" s="4">
        <v>5100</v>
      </c>
      <c r="AG27" s="7"/>
      <c r="AH27" s="4">
        <v>2700</v>
      </c>
      <c r="AI27" s="4">
        <v>20600</v>
      </c>
      <c r="AJ27" s="7"/>
      <c r="AK27" s="4">
        <v>5400</v>
      </c>
      <c r="AL27" s="5">
        <f t="shared" si="0"/>
        <v>102100</v>
      </c>
    </row>
    <row r="28" spans="1:38" x14ac:dyDescent="0.35">
      <c r="A28" s="3" t="s">
        <v>45</v>
      </c>
      <c r="B28" s="4">
        <v>8000</v>
      </c>
      <c r="C28" s="7"/>
      <c r="D28" s="4">
        <v>2600</v>
      </c>
      <c r="E28" s="4">
        <v>16100</v>
      </c>
      <c r="F28" s="7"/>
      <c r="G28" s="4">
        <v>5800</v>
      </c>
      <c r="H28" s="4">
        <v>5500</v>
      </c>
      <c r="I28" s="7"/>
      <c r="J28" s="4" t="s">
        <v>28</v>
      </c>
      <c r="K28" s="4">
        <v>7200</v>
      </c>
      <c r="L28" s="7"/>
      <c r="M28" s="4">
        <v>3900</v>
      </c>
      <c r="N28" s="4">
        <v>7300</v>
      </c>
      <c r="O28" s="7"/>
      <c r="P28" s="4">
        <v>3800</v>
      </c>
      <c r="Q28" s="4">
        <v>3900</v>
      </c>
      <c r="R28" s="7"/>
      <c r="S28" s="4" t="s">
        <v>28</v>
      </c>
      <c r="T28" s="4">
        <v>9900</v>
      </c>
      <c r="U28" s="7"/>
      <c r="V28" s="4">
        <v>3000</v>
      </c>
      <c r="W28" s="4">
        <v>11200</v>
      </c>
      <c r="X28" s="7"/>
      <c r="Y28" s="4">
        <v>3800</v>
      </c>
      <c r="Z28" s="4">
        <v>7100</v>
      </c>
      <c r="AA28" s="7"/>
      <c r="AB28" s="4">
        <v>3900</v>
      </c>
      <c r="AC28" s="4">
        <v>8400</v>
      </c>
      <c r="AD28" s="7"/>
      <c r="AE28" s="4">
        <v>3200</v>
      </c>
      <c r="AF28" s="4">
        <v>3200</v>
      </c>
      <c r="AG28" s="7"/>
      <c r="AH28" s="4" t="s">
        <v>28</v>
      </c>
      <c r="AI28" s="4">
        <v>19500</v>
      </c>
      <c r="AJ28" s="7"/>
      <c r="AK28" s="4">
        <v>6100</v>
      </c>
      <c r="AL28" s="5">
        <f t="shared" si="0"/>
        <v>107300</v>
      </c>
    </row>
    <row r="29" spans="1:38" x14ac:dyDescent="0.35">
      <c r="A29" s="3" t="s">
        <v>46</v>
      </c>
      <c r="B29" s="4">
        <v>9400</v>
      </c>
      <c r="C29" s="7"/>
      <c r="D29" s="4">
        <v>2800</v>
      </c>
      <c r="E29" s="4">
        <v>24500</v>
      </c>
      <c r="F29" s="7"/>
      <c r="G29" s="4">
        <v>7400</v>
      </c>
      <c r="H29" s="4">
        <v>6700</v>
      </c>
      <c r="I29" s="7"/>
      <c r="J29" s="4">
        <v>3600</v>
      </c>
      <c r="K29" s="4">
        <v>6400</v>
      </c>
      <c r="L29" s="7"/>
      <c r="M29" s="4">
        <v>4000</v>
      </c>
      <c r="N29" s="4">
        <v>5800</v>
      </c>
      <c r="O29" s="7"/>
      <c r="P29" s="4">
        <v>3300</v>
      </c>
      <c r="Q29" s="4">
        <v>1800</v>
      </c>
      <c r="R29" s="7"/>
      <c r="S29" s="4" t="s">
        <v>28</v>
      </c>
      <c r="T29" s="4">
        <v>10600</v>
      </c>
      <c r="U29" s="7"/>
      <c r="V29" s="4">
        <v>2900</v>
      </c>
      <c r="W29" s="4">
        <v>11500</v>
      </c>
      <c r="X29" s="7"/>
      <c r="Y29" s="4">
        <v>3500</v>
      </c>
      <c r="Z29" s="4">
        <v>6800</v>
      </c>
      <c r="AA29" s="7"/>
      <c r="AB29" s="4">
        <v>3600</v>
      </c>
      <c r="AC29" s="4">
        <v>7200</v>
      </c>
      <c r="AD29" s="7"/>
      <c r="AE29" s="4">
        <v>2900</v>
      </c>
      <c r="AF29" s="4">
        <v>2600</v>
      </c>
      <c r="AG29" s="7"/>
      <c r="AH29" s="4" t="s">
        <v>28</v>
      </c>
      <c r="AI29" s="4">
        <v>23100</v>
      </c>
      <c r="AJ29" s="7"/>
      <c r="AK29" s="4">
        <v>6100</v>
      </c>
      <c r="AL29" s="5">
        <f t="shared" si="0"/>
        <v>116400</v>
      </c>
    </row>
    <row r="30" spans="1:38" s="21" customFormat="1" x14ac:dyDescent="0.35">
      <c r="A30" s="17" t="s">
        <v>72</v>
      </c>
      <c r="B30" s="18">
        <v>8000</v>
      </c>
      <c r="C30" s="19"/>
      <c r="D30" s="18">
        <v>2500</v>
      </c>
      <c r="E30" s="18">
        <v>20700</v>
      </c>
      <c r="F30" s="19"/>
      <c r="G30" s="18">
        <v>5900</v>
      </c>
      <c r="H30" s="18">
        <v>3500</v>
      </c>
      <c r="I30" s="19"/>
      <c r="J30" s="20" t="s">
        <v>28</v>
      </c>
      <c r="K30" s="18">
        <v>6600</v>
      </c>
      <c r="L30" s="19"/>
      <c r="M30" s="18">
        <v>3100</v>
      </c>
      <c r="N30" s="18">
        <v>4900</v>
      </c>
      <c r="O30" s="19"/>
      <c r="P30" s="20" t="s">
        <v>28</v>
      </c>
      <c r="Q30" s="18">
        <v>3300</v>
      </c>
      <c r="R30" s="19"/>
      <c r="S30" s="20" t="s">
        <v>28</v>
      </c>
      <c r="T30" s="18">
        <v>9000</v>
      </c>
      <c r="U30" s="19"/>
      <c r="V30" s="18">
        <v>2400</v>
      </c>
      <c r="W30" s="18">
        <v>10800</v>
      </c>
      <c r="X30" s="19"/>
      <c r="Y30" s="18">
        <v>3200</v>
      </c>
      <c r="Z30" s="18">
        <v>6800</v>
      </c>
      <c r="AA30" s="19"/>
      <c r="AB30" s="18">
        <v>3300</v>
      </c>
      <c r="AC30" s="18">
        <v>7600</v>
      </c>
      <c r="AD30" s="19"/>
      <c r="AE30" s="18">
        <v>2600</v>
      </c>
      <c r="AF30" s="18">
        <v>5400</v>
      </c>
      <c r="AG30" s="19"/>
      <c r="AH30" s="18">
        <v>3000</v>
      </c>
      <c r="AI30" s="18">
        <v>24100</v>
      </c>
      <c r="AJ30" s="19"/>
      <c r="AK30" s="18">
        <v>6200</v>
      </c>
      <c r="AL30" s="5">
        <f t="shared" si="0"/>
        <v>110700</v>
      </c>
    </row>
    <row r="32" spans="1:38" x14ac:dyDescent="0.35">
      <c r="A32" s="7" t="s">
        <v>47</v>
      </c>
    </row>
    <row r="33" spans="1:38" x14ac:dyDescent="0.35">
      <c r="A33" s="7" t="s">
        <v>48</v>
      </c>
    </row>
    <row r="34" spans="1:38" x14ac:dyDescent="0.35">
      <c r="A34" s="7" t="s">
        <v>49</v>
      </c>
    </row>
    <row r="35" spans="1:38" x14ac:dyDescent="0.35">
      <c r="A35" s="7" t="s">
        <v>50</v>
      </c>
    </row>
    <row r="38" spans="1:38" ht="15.5" x14ac:dyDescent="0.35">
      <c r="A38" s="6" t="s">
        <v>16</v>
      </c>
    </row>
    <row r="39" spans="1:38" x14ac:dyDescent="0.35">
      <c r="A39" s="7" t="s">
        <v>17</v>
      </c>
    </row>
    <row r="41" spans="1:38" x14ac:dyDescent="0.35">
      <c r="A41" s="3" t="s">
        <v>18</v>
      </c>
      <c r="B41" s="3" t="s">
        <v>51</v>
      </c>
    </row>
    <row r="42" spans="1:38" x14ac:dyDescent="0.35">
      <c r="A42" s="3" t="s">
        <v>20</v>
      </c>
      <c r="B42" s="3" t="s">
        <v>21</v>
      </c>
    </row>
    <row r="44" spans="1:38" ht="29" customHeight="1" x14ac:dyDescent="0.35">
      <c r="A44" s="1" t="s">
        <v>0</v>
      </c>
      <c r="B44" s="22" t="s">
        <v>1</v>
      </c>
      <c r="C44" s="23"/>
      <c r="D44" s="23"/>
      <c r="E44" s="22" t="s">
        <v>2</v>
      </c>
      <c r="F44" s="23"/>
      <c r="G44" s="23"/>
      <c r="H44" s="22" t="s">
        <v>3</v>
      </c>
      <c r="I44" s="23"/>
      <c r="J44" s="23"/>
      <c r="K44" s="22" t="s">
        <v>4</v>
      </c>
      <c r="L44" s="23"/>
      <c r="M44" s="23"/>
      <c r="N44" s="22" t="s">
        <v>5</v>
      </c>
      <c r="O44" s="23"/>
      <c r="P44" s="23"/>
      <c r="Q44" s="22" t="s">
        <v>6</v>
      </c>
      <c r="R44" s="23"/>
      <c r="S44" s="23"/>
      <c r="T44" s="22" t="s">
        <v>7</v>
      </c>
      <c r="U44" s="23"/>
      <c r="V44" s="23"/>
      <c r="W44" s="22" t="s">
        <v>8</v>
      </c>
      <c r="X44" s="23"/>
      <c r="Y44" s="23"/>
      <c r="Z44" s="22" t="s">
        <v>9</v>
      </c>
      <c r="AA44" s="23"/>
      <c r="AB44" s="23"/>
      <c r="AC44" s="22" t="s">
        <v>10</v>
      </c>
      <c r="AD44" s="23"/>
      <c r="AE44" s="23"/>
      <c r="AF44" s="22" t="s">
        <v>11</v>
      </c>
      <c r="AG44" s="23"/>
      <c r="AH44" s="23"/>
      <c r="AI44" s="22" t="s">
        <v>12</v>
      </c>
      <c r="AJ44" s="23"/>
      <c r="AK44" s="23"/>
    </row>
    <row r="45" spans="1:38" x14ac:dyDescent="0.35">
      <c r="B45" s="2" t="s">
        <v>22</v>
      </c>
      <c r="C45" s="2" t="s">
        <v>23</v>
      </c>
      <c r="D45" s="2" t="s">
        <v>24</v>
      </c>
      <c r="E45" s="2" t="s">
        <v>22</v>
      </c>
      <c r="F45" s="2" t="s">
        <v>23</v>
      </c>
      <c r="G45" s="2" t="s">
        <v>24</v>
      </c>
      <c r="H45" s="2" t="s">
        <v>22</v>
      </c>
      <c r="I45" s="2" t="s">
        <v>23</v>
      </c>
      <c r="J45" s="2" t="s">
        <v>24</v>
      </c>
      <c r="K45" s="2" t="s">
        <v>22</v>
      </c>
      <c r="L45" s="2" t="s">
        <v>23</v>
      </c>
      <c r="M45" s="2" t="s">
        <v>24</v>
      </c>
      <c r="N45" s="2" t="s">
        <v>22</v>
      </c>
      <c r="O45" s="2" t="s">
        <v>23</v>
      </c>
      <c r="P45" s="2" t="s">
        <v>24</v>
      </c>
      <c r="Q45" s="2" t="s">
        <v>22</v>
      </c>
      <c r="R45" s="2" t="s">
        <v>23</v>
      </c>
      <c r="S45" s="2" t="s">
        <v>24</v>
      </c>
      <c r="T45" s="2" t="s">
        <v>22</v>
      </c>
      <c r="U45" s="2" t="s">
        <v>23</v>
      </c>
      <c r="V45" s="2" t="s">
        <v>24</v>
      </c>
      <c r="W45" s="2" t="s">
        <v>22</v>
      </c>
      <c r="X45" s="2" t="s">
        <v>23</v>
      </c>
      <c r="Y45" s="2" t="s">
        <v>24</v>
      </c>
      <c r="Z45" s="2" t="s">
        <v>22</v>
      </c>
      <c r="AA45" s="2" t="s">
        <v>23</v>
      </c>
      <c r="AB45" s="2" t="s">
        <v>24</v>
      </c>
      <c r="AC45" s="2" t="s">
        <v>22</v>
      </c>
      <c r="AD45" s="2" t="s">
        <v>23</v>
      </c>
      <c r="AE45" s="2" t="s">
        <v>24</v>
      </c>
      <c r="AF45" s="2" t="s">
        <v>22</v>
      </c>
      <c r="AG45" s="2" t="s">
        <v>23</v>
      </c>
      <c r="AH45" s="2" t="s">
        <v>24</v>
      </c>
      <c r="AI45" s="2" t="s">
        <v>22</v>
      </c>
      <c r="AJ45" s="2" t="s">
        <v>23</v>
      </c>
      <c r="AK45" s="2" t="s">
        <v>24</v>
      </c>
    </row>
    <row r="46" spans="1:38" x14ac:dyDescent="0.35">
      <c r="A46" s="3" t="s">
        <v>25</v>
      </c>
      <c r="B46" s="4">
        <v>3300</v>
      </c>
      <c r="C46" s="7"/>
      <c r="D46" s="4">
        <v>1000</v>
      </c>
      <c r="E46" s="4">
        <v>5000</v>
      </c>
      <c r="F46" s="7"/>
      <c r="G46" s="4">
        <v>2000</v>
      </c>
      <c r="H46" s="4">
        <v>1000</v>
      </c>
      <c r="I46" s="7"/>
      <c r="J46" s="4" t="s">
        <v>28</v>
      </c>
      <c r="K46" s="4">
        <v>2200</v>
      </c>
      <c r="L46" s="7"/>
      <c r="M46" s="4">
        <v>800</v>
      </c>
      <c r="N46" s="4">
        <v>1300</v>
      </c>
      <c r="O46" s="7"/>
      <c r="P46" s="4">
        <v>600</v>
      </c>
      <c r="Q46" s="4">
        <v>1100</v>
      </c>
      <c r="R46" s="7"/>
      <c r="S46" s="4">
        <v>700</v>
      </c>
      <c r="T46" s="4">
        <v>3500</v>
      </c>
      <c r="U46" s="7"/>
      <c r="V46" s="4">
        <v>1100</v>
      </c>
      <c r="W46" s="4">
        <v>4400</v>
      </c>
      <c r="X46" s="7"/>
      <c r="Y46" s="4">
        <v>1600</v>
      </c>
      <c r="Z46" s="4">
        <v>2300</v>
      </c>
      <c r="AA46" s="7"/>
      <c r="AB46" s="4">
        <v>1000</v>
      </c>
      <c r="AC46" s="4">
        <v>3300</v>
      </c>
      <c r="AD46" s="7"/>
      <c r="AE46" s="4">
        <v>1300</v>
      </c>
      <c r="AF46" s="4">
        <v>800</v>
      </c>
      <c r="AG46" s="7"/>
      <c r="AH46" s="4" t="s">
        <v>28</v>
      </c>
      <c r="AI46" s="4">
        <v>8800</v>
      </c>
      <c r="AJ46" s="7"/>
      <c r="AK46" s="4">
        <v>2100</v>
      </c>
      <c r="AL46" s="5">
        <f>SUM(B46,E46,H46,K46,N46,Q46,T46,W46,Z46,AC46,AF46,AI46)</f>
        <v>37000</v>
      </c>
    </row>
    <row r="47" spans="1:38" x14ac:dyDescent="0.35">
      <c r="A47" s="3" t="s">
        <v>26</v>
      </c>
      <c r="B47" s="4">
        <v>3100</v>
      </c>
      <c r="C47" s="7"/>
      <c r="D47" s="4">
        <v>1100</v>
      </c>
      <c r="E47" s="4">
        <v>6600</v>
      </c>
      <c r="F47" s="7"/>
      <c r="G47" s="4">
        <v>2500</v>
      </c>
      <c r="H47" s="4">
        <v>1900</v>
      </c>
      <c r="I47" s="7"/>
      <c r="J47" s="4">
        <v>1000</v>
      </c>
      <c r="K47" s="4">
        <v>2500</v>
      </c>
      <c r="L47" s="7"/>
      <c r="M47" s="4">
        <v>900</v>
      </c>
      <c r="N47" s="4">
        <v>2000</v>
      </c>
      <c r="O47" s="7"/>
      <c r="P47" s="4">
        <v>900</v>
      </c>
      <c r="Q47" s="4">
        <v>1400</v>
      </c>
      <c r="R47" s="7"/>
      <c r="S47" s="4">
        <v>800</v>
      </c>
      <c r="T47" s="4">
        <v>3200</v>
      </c>
      <c r="U47" s="7"/>
      <c r="V47" s="4">
        <v>1100</v>
      </c>
      <c r="W47" s="4">
        <v>5500</v>
      </c>
      <c r="X47" s="7"/>
      <c r="Y47" s="4">
        <v>1800</v>
      </c>
      <c r="Z47" s="4">
        <v>2300</v>
      </c>
      <c r="AA47" s="7"/>
      <c r="AB47" s="4">
        <v>1000</v>
      </c>
      <c r="AC47" s="4">
        <v>3600</v>
      </c>
      <c r="AD47" s="7"/>
      <c r="AE47" s="4">
        <v>1300</v>
      </c>
      <c r="AF47" s="4">
        <v>1500</v>
      </c>
      <c r="AG47" s="7"/>
      <c r="AH47" s="4">
        <v>800</v>
      </c>
      <c r="AI47" s="4">
        <v>9700</v>
      </c>
      <c r="AJ47" s="7"/>
      <c r="AK47" s="4">
        <v>2200</v>
      </c>
      <c r="AL47" s="5">
        <f t="shared" ref="AL47:AL67" si="1">SUM(B47,E47,H47,K47,N47,Q47,T47,W47,Z47,AC47,AF47,AI47)</f>
        <v>43300</v>
      </c>
    </row>
    <row r="48" spans="1:38" x14ac:dyDescent="0.35">
      <c r="A48" s="3" t="s">
        <v>27</v>
      </c>
      <c r="B48" s="4">
        <v>3800</v>
      </c>
      <c r="C48" s="7"/>
      <c r="D48" s="4">
        <v>1200</v>
      </c>
      <c r="E48" s="4">
        <v>5800</v>
      </c>
      <c r="F48" s="7"/>
      <c r="G48" s="4">
        <v>2400</v>
      </c>
      <c r="H48" s="4">
        <v>2100</v>
      </c>
      <c r="I48" s="7"/>
      <c r="J48" s="4" t="s">
        <v>28</v>
      </c>
      <c r="K48" s="4">
        <v>2900</v>
      </c>
      <c r="L48" s="7"/>
      <c r="M48" s="4">
        <v>1900</v>
      </c>
      <c r="N48" s="4">
        <v>2300</v>
      </c>
      <c r="O48" s="7"/>
      <c r="P48" s="4" t="s">
        <v>28</v>
      </c>
      <c r="Q48" s="4">
        <v>1400</v>
      </c>
      <c r="R48" s="7"/>
      <c r="S48" s="4" t="s">
        <v>28</v>
      </c>
      <c r="T48" s="4">
        <v>3200</v>
      </c>
      <c r="U48" s="7"/>
      <c r="V48" s="4">
        <v>1200</v>
      </c>
      <c r="W48" s="4">
        <v>4700</v>
      </c>
      <c r="X48" s="7"/>
      <c r="Y48" s="4">
        <v>1600</v>
      </c>
      <c r="Z48" s="4">
        <v>2800</v>
      </c>
      <c r="AA48" s="7"/>
      <c r="AB48" s="4">
        <v>1700</v>
      </c>
      <c r="AC48" s="4">
        <v>3800</v>
      </c>
      <c r="AD48" s="7"/>
      <c r="AE48" s="4">
        <v>1400</v>
      </c>
      <c r="AF48" s="4">
        <v>2100</v>
      </c>
      <c r="AG48" s="7"/>
      <c r="AH48" s="4" t="s">
        <v>28</v>
      </c>
      <c r="AI48" s="4">
        <v>10900</v>
      </c>
      <c r="AJ48" s="7"/>
      <c r="AK48" s="4">
        <v>3600</v>
      </c>
      <c r="AL48" s="5">
        <f t="shared" si="1"/>
        <v>45800</v>
      </c>
    </row>
    <row r="49" spans="1:38" x14ac:dyDescent="0.35">
      <c r="A49" s="3" t="s">
        <v>29</v>
      </c>
      <c r="B49" s="4">
        <v>4700</v>
      </c>
      <c r="C49" s="7"/>
      <c r="D49" s="4">
        <v>1400</v>
      </c>
      <c r="E49" s="4">
        <v>10100</v>
      </c>
      <c r="F49" s="7"/>
      <c r="G49" s="4">
        <v>3000</v>
      </c>
      <c r="H49" s="4">
        <v>1800</v>
      </c>
      <c r="I49" s="7"/>
      <c r="J49" s="4" t="s">
        <v>28</v>
      </c>
      <c r="K49" s="4">
        <v>4100</v>
      </c>
      <c r="L49" s="7"/>
      <c r="M49" s="4">
        <v>2400</v>
      </c>
      <c r="N49" s="4">
        <v>1700</v>
      </c>
      <c r="O49" s="7"/>
      <c r="P49" s="4" t="s">
        <v>28</v>
      </c>
      <c r="Q49" s="4">
        <v>1000</v>
      </c>
      <c r="R49" s="7"/>
      <c r="S49" s="4" t="s">
        <v>28</v>
      </c>
      <c r="T49" s="4">
        <v>4400</v>
      </c>
      <c r="U49" s="7"/>
      <c r="V49" s="4">
        <v>1400</v>
      </c>
      <c r="W49" s="4">
        <v>3600</v>
      </c>
      <c r="X49" s="7"/>
      <c r="Y49" s="4">
        <v>1400</v>
      </c>
      <c r="Z49" s="4">
        <v>3500</v>
      </c>
      <c r="AA49" s="7"/>
      <c r="AB49" s="4">
        <v>1900</v>
      </c>
      <c r="AC49" s="4">
        <v>4000</v>
      </c>
      <c r="AD49" s="7"/>
      <c r="AE49" s="4">
        <v>1400</v>
      </c>
      <c r="AF49" s="4">
        <v>800</v>
      </c>
      <c r="AG49" s="7"/>
      <c r="AH49" s="4" t="s">
        <v>28</v>
      </c>
      <c r="AI49" s="4">
        <v>8200</v>
      </c>
      <c r="AJ49" s="7"/>
      <c r="AK49" s="4">
        <v>3000</v>
      </c>
      <c r="AL49" s="5">
        <f t="shared" si="1"/>
        <v>47900</v>
      </c>
    </row>
    <row r="50" spans="1:38" x14ac:dyDescent="0.35">
      <c r="A50" s="3" t="s">
        <v>30</v>
      </c>
      <c r="B50" s="4">
        <v>4300</v>
      </c>
      <c r="C50" s="7"/>
      <c r="D50" s="4">
        <v>1300</v>
      </c>
      <c r="E50" s="4">
        <v>9600</v>
      </c>
      <c r="F50" s="7"/>
      <c r="G50" s="4">
        <v>3100</v>
      </c>
      <c r="H50" s="4">
        <v>2500</v>
      </c>
      <c r="I50" s="7"/>
      <c r="J50" s="4" t="s">
        <v>28</v>
      </c>
      <c r="K50" s="4">
        <v>2800</v>
      </c>
      <c r="L50" s="7"/>
      <c r="M50" s="4" t="s">
        <v>28</v>
      </c>
      <c r="N50" s="4">
        <v>900</v>
      </c>
      <c r="O50" s="7"/>
      <c r="P50" s="4" t="s">
        <v>28</v>
      </c>
      <c r="Q50" s="4">
        <v>1000</v>
      </c>
      <c r="R50" s="7"/>
      <c r="S50" s="4" t="s">
        <v>28</v>
      </c>
      <c r="T50" s="4">
        <v>3800</v>
      </c>
      <c r="U50" s="7"/>
      <c r="V50" s="4">
        <v>1300</v>
      </c>
      <c r="W50" s="4">
        <v>4100</v>
      </c>
      <c r="X50" s="7"/>
      <c r="Y50" s="4">
        <v>1500</v>
      </c>
      <c r="Z50" s="4">
        <v>4400</v>
      </c>
      <c r="AA50" s="7"/>
      <c r="AB50" s="4">
        <v>2300</v>
      </c>
      <c r="AC50" s="4">
        <v>2100</v>
      </c>
      <c r="AD50" s="7"/>
      <c r="AE50" s="4">
        <v>1000</v>
      </c>
      <c r="AF50" s="4">
        <v>2000</v>
      </c>
      <c r="AG50" s="7"/>
      <c r="AH50" s="4" t="s">
        <v>28</v>
      </c>
      <c r="AI50" s="4">
        <v>11500</v>
      </c>
      <c r="AJ50" s="7"/>
      <c r="AK50" s="4">
        <v>3600</v>
      </c>
      <c r="AL50" s="5">
        <f t="shared" si="1"/>
        <v>49000</v>
      </c>
    </row>
    <row r="51" spans="1:38" x14ac:dyDescent="0.35">
      <c r="A51" s="3" t="s">
        <v>31</v>
      </c>
      <c r="B51" s="4">
        <v>4100</v>
      </c>
      <c r="C51" s="7"/>
      <c r="D51" s="4">
        <v>1300</v>
      </c>
      <c r="E51" s="4">
        <v>10500</v>
      </c>
      <c r="F51" s="7"/>
      <c r="G51" s="4">
        <v>3200</v>
      </c>
      <c r="H51" s="4">
        <v>2300</v>
      </c>
      <c r="I51" s="7"/>
      <c r="J51" s="4" t="s">
        <v>28</v>
      </c>
      <c r="K51" s="4">
        <v>3500</v>
      </c>
      <c r="L51" s="7"/>
      <c r="M51" s="4">
        <v>2100</v>
      </c>
      <c r="N51" s="4">
        <v>1700</v>
      </c>
      <c r="O51" s="7"/>
      <c r="P51" s="4" t="s">
        <v>28</v>
      </c>
      <c r="Q51" s="4">
        <v>3300</v>
      </c>
      <c r="R51" s="7"/>
      <c r="S51" s="4" t="s">
        <v>28</v>
      </c>
      <c r="T51" s="4">
        <v>4300</v>
      </c>
      <c r="U51" s="7"/>
      <c r="V51" s="4">
        <v>1400</v>
      </c>
      <c r="W51" s="4">
        <v>2900</v>
      </c>
      <c r="X51" s="7"/>
      <c r="Y51" s="4">
        <v>1300</v>
      </c>
      <c r="Z51" s="4">
        <v>4500</v>
      </c>
      <c r="AA51" s="7"/>
      <c r="AB51" s="4">
        <v>2200</v>
      </c>
      <c r="AC51" s="4">
        <v>2600</v>
      </c>
      <c r="AD51" s="7"/>
      <c r="AE51" s="4">
        <v>1200</v>
      </c>
      <c r="AF51" s="4">
        <v>1700</v>
      </c>
      <c r="AG51" s="7"/>
      <c r="AH51" s="4" t="s">
        <v>28</v>
      </c>
      <c r="AI51" s="4">
        <v>11200</v>
      </c>
      <c r="AJ51" s="7"/>
      <c r="AK51" s="4">
        <v>3600</v>
      </c>
      <c r="AL51" s="5">
        <f t="shared" si="1"/>
        <v>52600</v>
      </c>
    </row>
    <row r="52" spans="1:38" x14ac:dyDescent="0.35">
      <c r="A52" s="3" t="s">
        <v>32</v>
      </c>
      <c r="B52" s="4">
        <v>5400</v>
      </c>
      <c r="C52" s="7"/>
      <c r="D52" s="4">
        <v>1600</v>
      </c>
      <c r="E52" s="4">
        <v>7600</v>
      </c>
      <c r="F52" s="7"/>
      <c r="G52" s="4">
        <v>2800</v>
      </c>
      <c r="H52" s="4">
        <v>2600</v>
      </c>
      <c r="I52" s="7"/>
      <c r="J52" s="4" t="s">
        <v>28</v>
      </c>
      <c r="K52" s="4">
        <v>2100</v>
      </c>
      <c r="L52" s="7"/>
      <c r="M52" s="4" t="s">
        <v>28</v>
      </c>
      <c r="N52" s="4">
        <v>2400</v>
      </c>
      <c r="O52" s="7"/>
      <c r="P52" s="4" t="s">
        <v>28</v>
      </c>
      <c r="Q52" s="4">
        <v>1900</v>
      </c>
      <c r="R52" s="7"/>
      <c r="S52" s="4" t="s">
        <v>28</v>
      </c>
      <c r="T52" s="4">
        <v>4300</v>
      </c>
      <c r="U52" s="7"/>
      <c r="V52" s="4">
        <v>1400</v>
      </c>
      <c r="W52" s="4">
        <v>4000</v>
      </c>
      <c r="X52" s="7"/>
      <c r="Y52" s="4">
        <v>1600</v>
      </c>
      <c r="Z52" s="4">
        <v>4400</v>
      </c>
      <c r="AA52" s="7"/>
      <c r="AB52" s="4">
        <v>2300</v>
      </c>
      <c r="AC52" s="4">
        <v>4100</v>
      </c>
      <c r="AD52" s="7"/>
      <c r="AE52" s="4">
        <v>1600</v>
      </c>
      <c r="AF52" s="4">
        <v>1500</v>
      </c>
      <c r="AG52" s="7"/>
      <c r="AH52" s="4" t="s">
        <v>28</v>
      </c>
      <c r="AI52" s="4">
        <v>10500</v>
      </c>
      <c r="AJ52" s="7"/>
      <c r="AK52" s="4">
        <v>3500</v>
      </c>
      <c r="AL52" s="5">
        <f t="shared" si="1"/>
        <v>50800</v>
      </c>
    </row>
    <row r="53" spans="1:38" x14ac:dyDescent="0.35">
      <c r="A53" s="3" t="s">
        <v>33</v>
      </c>
      <c r="B53" s="4">
        <v>3900</v>
      </c>
      <c r="C53" s="7"/>
      <c r="D53" s="4">
        <v>1400</v>
      </c>
      <c r="E53" s="4">
        <v>11100</v>
      </c>
      <c r="F53" s="7"/>
      <c r="G53" s="4">
        <v>3500</v>
      </c>
      <c r="H53" s="4">
        <v>3900</v>
      </c>
      <c r="I53" s="7"/>
      <c r="J53" s="4" t="s">
        <v>28</v>
      </c>
      <c r="K53" s="4">
        <v>3200</v>
      </c>
      <c r="L53" s="7"/>
      <c r="M53" s="4" t="s">
        <v>28</v>
      </c>
      <c r="N53" s="4">
        <v>2700</v>
      </c>
      <c r="O53" s="7"/>
      <c r="P53" s="4" t="s">
        <v>28</v>
      </c>
      <c r="Q53" s="4" t="s">
        <v>15</v>
      </c>
      <c r="R53" s="7"/>
      <c r="S53" s="4" t="s">
        <v>15</v>
      </c>
      <c r="T53" s="4">
        <v>4200</v>
      </c>
      <c r="U53" s="7"/>
      <c r="V53" s="4">
        <v>1500</v>
      </c>
      <c r="W53" s="4">
        <v>3900</v>
      </c>
      <c r="X53" s="7"/>
      <c r="Y53" s="4">
        <v>1700</v>
      </c>
      <c r="Z53" s="4">
        <v>6000</v>
      </c>
      <c r="AA53" s="7"/>
      <c r="AB53" s="4">
        <v>2900</v>
      </c>
      <c r="AC53" s="4">
        <v>3200</v>
      </c>
      <c r="AD53" s="7"/>
      <c r="AE53" s="4">
        <v>1300</v>
      </c>
      <c r="AF53" s="4">
        <v>2900</v>
      </c>
      <c r="AG53" s="7"/>
      <c r="AH53" s="4" t="s">
        <v>28</v>
      </c>
      <c r="AI53" s="4">
        <v>11400</v>
      </c>
      <c r="AJ53" s="7"/>
      <c r="AK53" s="4">
        <v>3900</v>
      </c>
      <c r="AL53" s="5">
        <f t="shared" si="1"/>
        <v>56400</v>
      </c>
    </row>
    <row r="54" spans="1:38" x14ac:dyDescent="0.35">
      <c r="A54" s="3" t="s">
        <v>34</v>
      </c>
      <c r="B54" s="4">
        <v>5000</v>
      </c>
      <c r="C54" s="7"/>
      <c r="D54" s="4">
        <v>1400</v>
      </c>
      <c r="E54" s="4">
        <v>11400</v>
      </c>
      <c r="F54" s="7"/>
      <c r="G54" s="4">
        <v>3700</v>
      </c>
      <c r="H54" s="4">
        <v>2500</v>
      </c>
      <c r="I54" s="7"/>
      <c r="J54" s="4" t="s">
        <v>28</v>
      </c>
      <c r="K54" s="4">
        <v>4000</v>
      </c>
      <c r="L54" s="7"/>
      <c r="M54" s="4">
        <v>2500</v>
      </c>
      <c r="N54" s="4">
        <v>2300</v>
      </c>
      <c r="O54" s="7"/>
      <c r="P54" s="4" t="s">
        <v>28</v>
      </c>
      <c r="Q54" s="4">
        <v>1500</v>
      </c>
      <c r="R54" s="7"/>
      <c r="S54" s="4" t="s">
        <v>28</v>
      </c>
      <c r="T54" s="4">
        <v>4400</v>
      </c>
      <c r="U54" s="7"/>
      <c r="V54" s="4">
        <v>1500</v>
      </c>
      <c r="W54" s="4">
        <v>4400</v>
      </c>
      <c r="X54" s="7"/>
      <c r="Y54" s="4">
        <v>1800</v>
      </c>
      <c r="Z54" s="4">
        <v>5500</v>
      </c>
      <c r="AA54" s="7"/>
      <c r="AB54" s="4">
        <v>2800</v>
      </c>
      <c r="AC54" s="4">
        <v>3800</v>
      </c>
      <c r="AD54" s="7"/>
      <c r="AE54" s="4">
        <v>1500</v>
      </c>
      <c r="AF54" s="4">
        <v>1500</v>
      </c>
      <c r="AG54" s="7"/>
      <c r="AH54" s="4" t="s">
        <v>28</v>
      </c>
      <c r="AI54" s="4">
        <v>12300</v>
      </c>
      <c r="AJ54" s="7"/>
      <c r="AK54" s="4">
        <v>3700</v>
      </c>
      <c r="AL54" s="5">
        <f t="shared" si="1"/>
        <v>58600</v>
      </c>
    </row>
    <row r="55" spans="1:38" x14ac:dyDescent="0.35">
      <c r="A55" s="3" t="s">
        <v>35</v>
      </c>
      <c r="B55" s="4">
        <v>5300</v>
      </c>
      <c r="C55" s="7"/>
      <c r="D55" s="4">
        <v>1400</v>
      </c>
      <c r="E55" s="4">
        <v>11000</v>
      </c>
      <c r="F55" s="7"/>
      <c r="G55" s="4">
        <v>3700</v>
      </c>
      <c r="H55" s="4">
        <v>2000</v>
      </c>
      <c r="I55" s="7"/>
      <c r="J55" s="4" t="s">
        <v>28</v>
      </c>
      <c r="K55" s="4">
        <v>2400</v>
      </c>
      <c r="L55" s="7"/>
      <c r="M55" s="4" t="s">
        <v>28</v>
      </c>
      <c r="N55" s="4">
        <v>2500</v>
      </c>
      <c r="O55" s="7"/>
      <c r="P55" s="4" t="s">
        <v>28</v>
      </c>
      <c r="Q55" s="4">
        <v>1000</v>
      </c>
      <c r="R55" s="7"/>
      <c r="S55" s="4" t="s">
        <v>28</v>
      </c>
      <c r="T55" s="4">
        <v>3600</v>
      </c>
      <c r="U55" s="7"/>
      <c r="V55" s="4">
        <v>1400</v>
      </c>
      <c r="W55" s="4">
        <v>3500</v>
      </c>
      <c r="X55" s="7"/>
      <c r="Y55" s="4">
        <v>1600</v>
      </c>
      <c r="Z55" s="4">
        <v>4200</v>
      </c>
      <c r="AA55" s="7"/>
      <c r="AB55" s="4">
        <v>2500</v>
      </c>
      <c r="AC55" s="4">
        <v>4200</v>
      </c>
      <c r="AD55" s="7"/>
      <c r="AE55" s="4">
        <v>1600</v>
      </c>
      <c r="AF55" s="4">
        <v>1200</v>
      </c>
      <c r="AG55" s="7"/>
      <c r="AH55" s="4" t="s">
        <v>28</v>
      </c>
      <c r="AI55" s="4">
        <v>16800</v>
      </c>
      <c r="AJ55" s="7"/>
      <c r="AK55" s="4">
        <v>4200</v>
      </c>
      <c r="AL55" s="5">
        <f t="shared" si="1"/>
        <v>57700</v>
      </c>
    </row>
    <row r="56" spans="1:38" x14ac:dyDescent="0.35">
      <c r="A56" s="3" t="s">
        <v>36</v>
      </c>
      <c r="B56" s="4">
        <v>6600</v>
      </c>
      <c r="C56" s="7"/>
      <c r="D56" s="4">
        <v>1500</v>
      </c>
      <c r="E56" s="4">
        <v>14900</v>
      </c>
      <c r="F56" s="7"/>
      <c r="G56" s="4">
        <v>4300</v>
      </c>
      <c r="H56" s="4">
        <v>1500</v>
      </c>
      <c r="I56" s="7"/>
      <c r="J56" s="4" t="s">
        <v>28</v>
      </c>
      <c r="K56" s="4">
        <v>3500</v>
      </c>
      <c r="L56" s="7"/>
      <c r="M56" s="4">
        <v>2200</v>
      </c>
      <c r="N56" s="4">
        <v>3600</v>
      </c>
      <c r="O56" s="7"/>
      <c r="P56" s="4">
        <v>2300</v>
      </c>
      <c r="Q56" s="4">
        <v>2100</v>
      </c>
      <c r="R56" s="7"/>
      <c r="S56" s="4" t="s">
        <v>28</v>
      </c>
      <c r="T56" s="4">
        <v>3600</v>
      </c>
      <c r="U56" s="7"/>
      <c r="V56" s="4">
        <v>1400</v>
      </c>
      <c r="W56" s="4">
        <v>4900</v>
      </c>
      <c r="X56" s="7"/>
      <c r="Y56" s="4">
        <v>1900</v>
      </c>
      <c r="Z56" s="4">
        <v>6100</v>
      </c>
      <c r="AA56" s="7"/>
      <c r="AB56" s="4">
        <v>3100</v>
      </c>
      <c r="AC56" s="4">
        <v>2700</v>
      </c>
      <c r="AD56" s="7"/>
      <c r="AE56" s="4">
        <v>1200</v>
      </c>
      <c r="AF56" s="4">
        <v>1400</v>
      </c>
      <c r="AG56" s="7"/>
      <c r="AH56" s="4" t="s">
        <v>28</v>
      </c>
      <c r="AI56" s="4">
        <v>17300</v>
      </c>
      <c r="AJ56" s="7"/>
      <c r="AK56" s="4">
        <v>4200</v>
      </c>
      <c r="AL56" s="5">
        <f t="shared" si="1"/>
        <v>68200</v>
      </c>
    </row>
    <row r="57" spans="1:38" x14ac:dyDescent="0.35">
      <c r="A57" s="3" t="s">
        <v>37</v>
      </c>
      <c r="B57" s="4">
        <v>6100</v>
      </c>
      <c r="C57" s="7"/>
      <c r="D57" s="4">
        <v>1500</v>
      </c>
      <c r="E57" s="4">
        <v>11200</v>
      </c>
      <c r="F57" s="7"/>
      <c r="G57" s="4">
        <v>3800</v>
      </c>
      <c r="H57" s="4">
        <v>4100</v>
      </c>
      <c r="I57" s="7"/>
      <c r="J57" s="4">
        <v>2400</v>
      </c>
      <c r="K57" s="4">
        <v>5800</v>
      </c>
      <c r="L57" s="7"/>
      <c r="M57" s="4">
        <v>3000</v>
      </c>
      <c r="N57" s="4">
        <v>2800</v>
      </c>
      <c r="O57" s="7"/>
      <c r="P57" s="4">
        <v>1900</v>
      </c>
      <c r="Q57" s="4">
        <v>1100</v>
      </c>
      <c r="R57" s="7"/>
      <c r="S57" s="4" t="s">
        <v>28</v>
      </c>
      <c r="T57" s="4">
        <v>5000</v>
      </c>
      <c r="U57" s="7"/>
      <c r="V57" s="4">
        <v>1800</v>
      </c>
      <c r="W57" s="4">
        <v>5900</v>
      </c>
      <c r="X57" s="7"/>
      <c r="Y57" s="4">
        <v>2100</v>
      </c>
      <c r="Z57" s="4">
        <v>3200</v>
      </c>
      <c r="AA57" s="7"/>
      <c r="AB57" s="4" t="s">
        <v>28</v>
      </c>
      <c r="AC57" s="4">
        <v>3000</v>
      </c>
      <c r="AD57" s="7"/>
      <c r="AE57" s="4">
        <v>1200</v>
      </c>
      <c r="AF57" s="4">
        <v>1800</v>
      </c>
      <c r="AG57" s="7"/>
      <c r="AH57" s="4" t="s">
        <v>28</v>
      </c>
      <c r="AI57" s="4">
        <v>16400</v>
      </c>
      <c r="AJ57" s="7"/>
      <c r="AK57" s="4">
        <v>4000</v>
      </c>
      <c r="AL57" s="5">
        <f t="shared" si="1"/>
        <v>66400</v>
      </c>
    </row>
    <row r="58" spans="1:38" x14ac:dyDescent="0.35">
      <c r="A58" s="3" t="s">
        <v>38</v>
      </c>
      <c r="B58" s="4">
        <v>6700</v>
      </c>
      <c r="C58" s="7"/>
      <c r="D58" s="4">
        <v>1600</v>
      </c>
      <c r="E58" s="4">
        <v>15200</v>
      </c>
      <c r="F58" s="7"/>
      <c r="G58" s="4">
        <v>4500</v>
      </c>
      <c r="H58" s="4">
        <v>3000</v>
      </c>
      <c r="I58" s="7"/>
      <c r="J58" s="4" t="s">
        <v>28</v>
      </c>
      <c r="K58" s="4">
        <v>6100</v>
      </c>
      <c r="L58" s="7"/>
      <c r="M58" s="4">
        <v>3500</v>
      </c>
      <c r="N58" s="4">
        <v>1900</v>
      </c>
      <c r="O58" s="7"/>
      <c r="P58" s="4" t="s">
        <v>28</v>
      </c>
      <c r="Q58" s="4" t="s">
        <v>15</v>
      </c>
      <c r="R58" s="7"/>
      <c r="S58" s="4" t="s">
        <v>15</v>
      </c>
      <c r="T58" s="4">
        <v>4900</v>
      </c>
      <c r="U58" s="7"/>
      <c r="V58" s="4">
        <v>1700</v>
      </c>
      <c r="W58" s="4">
        <v>5700</v>
      </c>
      <c r="X58" s="7"/>
      <c r="Y58" s="4">
        <v>2200</v>
      </c>
      <c r="Z58" s="4">
        <v>2400</v>
      </c>
      <c r="AA58" s="7"/>
      <c r="AB58" s="4" t="s">
        <v>28</v>
      </c>
      <c r="AC58" s="4">
        <v>4700</v>
      </c>
      <c r="AD58" s="7"/>
      <c r="AE58" s="4">
        <v>1600</v>
      </c>
      <c r="AF58" s="4">
        <v>1900</v>
      </c>
      <c r="AG58" s="7"/>
      <c r="AH58" s="4" t="s">
        <v>28</v>
      </c>
      <c r="AI58" s="4">
        <v>18500</v>
      </c>
      <c r="AJ58" s="7"/>
      <c r="AK58" s="4">
        <v>4500</v>
      </c>
      <c r="AL58" s="5">
        <f t="shared" si="1"/>
        <v>71000</v>
      </c>
    </row>
    <row r="59" spans="1:38" x14ac:dyDescent="0.35">
      <c r="A59" s="3" t="s">
        <v>39</v>
      </c>
      <c r="B59" s="4">
        <v>6700</v>
      </c>
      <c r="C59" s="7"/>
      <c r="D59" s="4">
        <v>1700</v>
      </c>
      <c r="E59" s="4">
        <v>10700</v>
      </c>
      <c r="F59" s="7"/>
      <c r="G59" s="4">
        <v>3700</v>
      </c>
      <c r="H59" s="4">
        <v>3400</v>
      </c>
      <c r="I59" s="7"/>
      <c r="J59" s="4" t="s">
        <v>28</v>
      </c>
      <c r="K59" s="4">
        <v>3100</v>
      </c>
      <c r="L59" s="7"/>
      <c r="M59" s="4" t="s">
        <v>28</v>
      </c>
      <c r="N59" s="4">
        <v>1200</v>
      </c>
      <c r="O59" s="7"/>
      <c r="P59" s="4" t="s">
        <v>28</v>
      </c>
      <c r="Q59" s="4">
        <v>1300</v>
      </c>
      <c r="R59" s="7"/>
      <c r="S59" s="4" t="s">
        <v>28</v>
      </c>
      <c r="T59" s="4">
        <v>6300</v>
      </c>
      <c r="U59" s="7"/>
      <c r="V59" s="4">
        <v>1900</v>
      </c>
      <c r="W59" s="4">
        <v>6500</v>
      </c>
      <c r="X59" s="7"/>
      <c r="Y59" s="4">
        <v>2200</v>
      </c>
      <c r="Z59" s="4">
        <v>3200</v>
      </c>
      <c r="AA59" s="7"/>
      <c r="AB59" s="4">
        <v>2000</v>
      </c>
      <c r="AC59" s="4">
        <v>4000</v>
      </c>
      <c r="AD59" s="7"/>
      <c r="AE59" s="4">
        <v>1400</v>
      </c>
      <c r="AF59" s="4">
        <v>2800</v>
      </c>
      <c r="AG59" s="7"/>
      <c r="AH59" s="4" t="s">
        <v>28</v>
      </c>
      <c r="AI59" s="4">
        <v>16500</v>
      </c>
      <c r="AJ59" s="7"/>
      <c r="AK59" s="4">
        <v>4300</v>
      </c>
      <c r="AL59" s="5">
        <f t="shared" si="1"/>
        <v>65700</v>
      </c>
    </row>
    <row r="60" spans="1:38" x14ac:dyDescent="0.35">
      <c r="A60" s="3" t="s">
        <v>40</v>
      </c>
      <c r="B60" s="4">
        <v>5400</v>
      </c>
      <c r="C60" s="7"/>
      <c r="D60" s="4">
        <v>1600</v>
      </c>
      <c r="E60" s="4">
        <v>11200</v>
      </c>
      <c r="F60" s="7"/>
      <c r="G60" s="4">
        <v>3600</v>
      </c>
      <c r="H60" s="4">
        <v>3700</v>
      </c>
      <c r="I60" s="7"/>
      <c r="J60" s="4">
        <v>2300</v>
      </c>
      <c r="K60" s="4">
        <v>3200</v>
      </c>
      <c r="L60" s="7"/>
      <c r="M60" s="4" t="s">
        <v>28</v>
      </c>
      <c r="N60" s="4">
        <v>2200</v>
      </c>
      <c r="O60" s="7"/>
      <c r="P60" s="4" t="s">
        <v>28</v>
      </c>
      <c r="Q60" s="4">
        <v>3000</v>
      </c>
      <c r="R60" s="7"/>
      <c r="S60" s="4" t="s">
        <v>28</v>
      </c>
      <c r="T60" s="4">
        <v>4400</v>
      </c>
      <c r="U60" s="7"/>
      <c r="V60" s="4">
        <v>1600</v>
      </c>
      <c r="W60" s="4">
        <v>6400</v>
      </c>
      <c r="X60" s="7"/>
      <c r="Y60" s="4">
        <v>2200</v>
      </c>
      <c r="Z60" s="4">
        <v>4600</v>
      </c>
      <c r="AA60" s="7"/>
      <c r="AB60" s="4">
        <v>2700</v>
      </c>
      <c r="AC60" s="4">
        <v>3800</v>
      </c>
      <c r="AD60" s="7"/>
      <c r="AE60" s="4">
        <v>1400</v>
      </c>
      <c r="AF60" s="4">
        <v>2000</v>
      </c>
      <c r="AG60" s="7"/>
      <c r="AH60" s="4" t="s">
        <v>28</v>
      </c>
      <c r="AI60" s="4">
        <v>16400</v>
      </c>
      <c r="AJ60" s="7"/>
      <c r="AK60" s="4">
        <v>4400</v>
      </c>
      <c r="AL60" s="5">
        <f t="shared" si="1"/>
        <v>66300</v>
      </c>
    </row>
    <row r="61" spans="1:38" x14ac:dyDescent="0.35">
      <c r="A61" s="3" t="s">
        <v>41</v>
      </c>
      <c r="B61" s="4">
        <v>7000</v>
      </c>
      <c r="C61" s="7"/>
      <c r="D61" s="4">
        <v>1900</v>
      </c>
      <c r="E61" s="4">
        <v>10000</v>
      </c>
      <c r="F61" s="7"/>
      <c r="G61" s="4">
        <v>3400</v>
      </c>
      <c r="H61" s="4">
        <v>5800</v>
      </c>
      <c r="I61" s="7"/>
      <c r="J61" s="4">
        <v>3000</v>
      </c>
      <c r="K61" s="4">
        <v>2400</v>
      </c>
      <c r="L61" s="7"/>
      <c r="M61" s="4" t="s">
        <v>28</v>
      </c>
      <c r="N61" s="4">
        <v>1900</v>
      </c>
      <c r="O61" s="7"/>
      <c r="P61" s="4" t="s">
        <v>28</v>
      </c>
      <c r="Q61" s="4">
        <v>2400</v>
      </c>
      <c r="R61" s="7"/>
      <c r="S61" s="4" t="s">
        <v>28</v>
      </c>
      <c r="T61" s="4">
        <v>5600</v>
      </c>
      <c r="U61" s="7"/>
      <c r="V61" s="4">
        <v>1800</v>
      </c>
      <c r="W61" s="4">
        <v>8500</v>
      </c>
      <c r="X61" s="7"/>
      <c r="Y61" s="4">
        <v>2600</v>
      </c>
      <c r="Z61" s="4">
        <v>4200</v>
      </c>
      <c r="AA61" s="7"/>
      <c r="AB61" s="4">
        <v>2600</v>
      </c>
      <c r="AC61" s="4">
        <v>4100</v>
      </c>
      <c r="AD61" s="7"/>
      <c r="AE61" s="4">
        <v>1500</v>
      </c>
      <c r="AF61" s="4">
        <v>1800</v>
      </c>
      <c r="AG61" s="7"/>
      <c r="AH61" s="4" t="s">
        <v>28</v>
      </c>
      <c r="AI61" s="4">
        <v>18900</v>
      </c>
      <c r="AJ61" s="7"/>
      <c r="AK61" s="4">
        <v>4900</v>
      </c>
      <c r="AL61" s="5">
        <f t="shared" si="1"/>
        <v>72600</v>
      </c>
    </row>
    <row r="62" spans="1:38" x14ac:dyDescent="0.35">
      <c r="A62" s="3" t="s">
        <v>42</v>
      </c>
      <c r="B62" s="4">
        <v>6400</v>
      </c>
      <c r="C62" s="7"/>
      <c r="D62" s="4">
        <v>2000</v>
      </c>
      <c r="E62" s="4">
        <v>10600</v>
      </c>
      <c r="F62" s="7"/>
      <c r="G62" s="4">
        <v>4000</v>
      </c>
      <c r="H62" s="4">
        <v>6700</v>
      </c>
      <c r="I62" s="7"/>
      <c r="J62" s="4">
        <v>3200</v>
      </c>
      <c r="K62" s="4">
        <v>2600</v>
      </c>
      <c r="L62" s="7"/>
      <c r="M62" s="4" t="s">
        <v>28</v>
      </c>
      <c r="N62" s="4">
        <v>2200</v>
      </c>
      <c r="O62" s="7"/>
      <c r="P62" s="4" t="s">
        <v>28</v>
      </c>
      <c r="Q62" s="4">
        <v>1500</v>
      </c>
      <c r="R62" s="7"/>
      <c r="S62" s="4" t="s">
        <v>28</v>
      </c>
      <c r="T62" s="4">
        <v>5300</v>
      </c>
      <c r="U62" s="7"/>
      <c r="V62" s="4">
        <v>1900</v>
      </c>
      <c r="W62" s="4">
        <v>8300</v>
      </c>
      <c r="X62" s="7"/>
      <c r="Y62" s="4">
        <v>2800</v>
      </c>
      <c r="Z62" s="4">
        <v>3500</v>
      </c>
      <c r="AA62" s="7"/>
      <c r="AB62" s="4">
        <v>2200</v>
      </c>
      <c r="AC62" s="4">
        <v>3400</v>
      </c>
      <c r="AD62" s="7"/>
      <c r="AE62" s="4">
        <v>1600</v>
      </c>
      <c r="AF62" s="4">
        <v>1900</v>
      </c>
      <c r="AG62" s="7"/>
      <c r="AH62" s="4" t="s">
        <v>28</v>
      </c>
      <c r="AI62" s="4">
        <v>20200</v>
      </c>
      <c r="AJ62" s="7"/>
      <c r="AK62" s="4">
        <v>5300</v>
      </c>
      <c r="AL62" s="5">
        <f t="shared" si="1"/>
        <v>72600</v>
      </c>
    </row>
    <row r="63" spans="1:38" x14ac:dyDescent="0.35">
      <c r="A63" s="3" t="s">
        <v>43</v>
      </c>
      <c r="B63" s="4">
        <v>5600</v>
      </c>
      <c r="C63" s="7"/>
      <c r="D63" s="4">
        <v>1900</v>
      </c>
      <c r="E63" s="4">
        <v>7800</v>
      </c>
      <c r="F63" s="7"/>
      <c r="G63" s="4">
        <v>3300</v>
      </c>
      <c r="H63" s="4">
        <v>4500</v>
      </c>
      <c r="I63" s="7"/>
      <c r="J63" s="4">
        <v>2500</v>
      </c>
      <c r="K63" s="4">
        <v>4500</v>
      </c>
      <c r="L63" s="7"/>
      <c r="M63" s="4">
        <v>2300</v>
      </c>
      <c r="N63" s="4">
        <v>2600</v>
      </c>
      <c r="O63" s="7"/>
      <c r="P63" s="4" t="s">
        <v>28</v>
      </c>
      <c r="Q63" s="4">
        <v>2700</v>
      </c>
      <c r="R63" s="7"/>
      <c r="S63" s="4" t="s">
        <v>28</v>
      </c>
      <c r="T63" s="4">
        <v>5800</v>
      </c>
      <c r="U63" s="7"/>
      <c r="V63" s="4">
        <v>2000</v>
      </c>
      <c r="W63" s="4">
        <v>5700</v>
      </c>
      <c r="X63" s="7"/>
      <c r="Y63" s="4">
        <v>2200</v>
      </c>
      <c r="Z63" s="4">
        <v>2500</v>
      </c>
      <c r="AA63" s="7"/>
      <c r="AB63" s="4">
        <v>1600</v>
      </c>
      <c r="AC63" s="4">
        <v>4400</v>
      </c>
      <c r="AD63" s="7"/>
      <c r="AE63" s="4">
        <v>1800</v>
      </c>
      <c r="AF63" s="4">
        <v>2400</v>
      </c>
      <c r="AG63" s="7"/>
      <c r="AH63" s="4" t="s">
        <v>28</v>
      </c>
      <c r="AI63" s="4">
        <v>13800</v>
      </c>
      <c r="AJ63" s="7"/>
      <c r="AK63" s="4">
        <v>4100</v>
      </c>
      <c r="AL63" s="5">
        <f t="shared" si="1"/>
        <v>62300</v>
      </c>
    </row>
    <row r="64" spans="1:38" x14ac:dyDescent="0.35">
      <c r="A64" s="3" t="s">
        <v>44</v>
      </c>
      <c r="B64" s="4">
        <v>6000</v>
      </c>
      <c r="C64" s="7"/>
      <c r="D64" s="4">
        <v>2200</v>
      </c>
      <c r="E64" s="4">
        <v>11200</v>
      </c>
      <c r="F64" s="7"/>
      <c r="G64" s="4">
        <v>4100</v>
      </c>
      <c r="H64" s="4">
        <v>4200</v>
      </c>
      <c r="I64" s="7"/>
      <c r="J64" s="4">
        <v>2600</v>
      </c>
      <c r="K64" s="4">
        <v>3900</v>
      </c>
      <c r="L64" s="7"/>
      <c r="M64" s="4">
        <v>2300</v>
      </c>
      <c r="N64" s="4">
        <v>2200</v>
      </c>
      <c r="O64" s="7"/>
      <c r="P64" s="4" t="s">
        <v>28</v>
      </c>
      <c r="Q64" s="4">
        <v>2700</v>
      </c>
      <c r="R64" s="7"/>
      <c r="S64" s="4" t="s">
        <v>28</v>
      </c>
      <c r="T64" s="4">
        <v>5100</v>
      </c>
      <c r="U64" s="7"/>
      <c r="V64" s="4">
        <v>2000</v>
      </c>
      <c r="W64" s="4">
        <v>8900</v>
      </c>
      <c r="X64" s="7"/>
      <c r="Y64" s="4">
        <v>2900</v>
      </c>
      <c r="Z64" s="4">
        <v>3100</v>
      </c>
      <c r="AA64" s="7"/>
      <c r="AB64" s="4">
        <v>2000</v>
      </c>
      <c r="AC64" s="4">
        <v>2500</v>
      </c>
      <c r="AD64" s="7"/>
      <c r="AE64" s="4">
        <v>1500</v>
      </c>
      <c r="AF64" s="4">
        <v>3000</v>
      </c>
      <c r="AG64" s="7"/>
      <c r="AH64" s="4" t="s">
        <v>28</v>
      </c>
      <c r="AI64" s="4">
        <v>14300</v>
      </c>
      <c r="AJ64" s="7"/>
      <c r="AK64" s="4">
        <v>4500</v>
      </c>
      <c r="AL64" s="5">
        <f t="shared" si="1"/>
        <v>67100</v>
      </c>
    </row>
    <row r="65" spans="1:38" x14ac:dyDescent="0.35">
      <c r="A65" s="3" t="s">
        <v>45</v>
      </c>
      <c r="B65" s="4">
        <v>5200</v>
      </c>
      <c r="C65" s="7"/>
      <c r="D65" s="4">
        <v>2100</v>
      </c>
      <c r="E65" s="4">
        <v>13400</v>
      </c>
      <c r="F65" s="7"/>
      <c r="G65" s="4">
        <v>5300</v>
      </c>
      <c r="H65" s="4">
        <v>5800</v>
      </c>
      <c r="I65" s="7"/>
      <c r="J65" s="4">
        <v>3300</v>
      </c>
      <c r="K65" s="4">
        <v>4100</v>
      </c>
      <c r="L65" s="7"/>
      <c r="M65" s="4" t="s">
        <v>28</v>
      </c>
      <c r="N65" s="4">
        <v>4000</v>
      </c>
      <c r="O65" s="7"/>
      <c r="P65" s="4" t="s">
        <v>28</v>
      </c>
      <c r="Q65" s="4">
        <v>3300</v>
      </c>
      <c r="R65" s="7"/>
      <c r="S65" s="4" t="s">
        <v>28</v>
      </c>
      <c r="T65" s="4">
        <v>6400</v>
      </c>
      <c r="U65" s="7"/>
      <c r="V65" s="4">
        <v>2400</v>
      </c>
      <c r="W65" s="4">
        <v>4600</v>
      </c>
      <c r="X65" s="7"/>
      <c r="Y65" s="4">
        <v>2400</v>
      </c>
      <c r="Z65" s="4">
        <v>8200</v>
      </c>
      <c r="AA65" s="7"/>
      <c r="AB65" s="4">
        <v>4200</v>
      </c>
      <c r="AC65" s="4">
        <v>4500</v>
      </c>
      <c r="AD65" s="7"/>
      <c r="AE65" s="4">
        <v>2400</v>
      </c>
      <c r="AF65" s="4">
        <v>1900</v>
      </c>
      <c r="AG65" s="7"/>
      <c r="AH65" s="4" t="s">
        <v>28</v>
      </c>
      <c r="AI65" s="4">
        <v>15500</v>
      </c>
      <c r="AJ65" s="7"/>
      <c r="AK65" s="4">
        <v>5400</v>
      </c>
      <c r="AL65" s="5">
        <f t="shared" si="1"/>
        <v>76900</v>
      </c>
    </row>
    <row r="66" spans="1:38" x14ac:dyDescent="0.35">
      <c r="A66" s="3" t="s">
        <v>46</v>
      </c>
      <c r="B66" s="4">
        <v>7800</v>
      </c>
      <c r="C66" s="7"/>
      <c r="D66" s="4">
        <v>2600</v>
      </c>
      <c r="E66" s="4">
        <v>13400</v>
      </c>
      <c r="F66" s="7"/>
      <c r="G66" s="4">
        <v>5400</v>
      </c>
      <c r="H66" s="4">
        <v>5000</v>
      </c>
      <c r="I66" s="7"/>
      <c r="J66" s="4">
        <v>3100</v>
      </c>
      <c r="K66" s="4">
        <v>1100</v>
      </c>
      <c r="L66" s="7"/>
      <c r="M66" s="4" t="s">
        <v>28</v>
      </c>
      <c r="N66" s="4">
        <v>2700</v>
      </c>
      <c r="O66" s="7"/>
      <c r="P66" s="4" t="s">
        <v>28</v>
      </c>
      <c r="Q66" s="4">
        <v>4500</v>
      </c>
      <c r="R66" s="7"/>
      <c r="S66" s="4" t="s">
        <v>28</v>
      </c>
      <c r="T66" s="4">
        <v>5100</v>
      </c>
      <c r="U66" s="7"/>
      <c r="V66" s="4">
        <v>2000</v>
      </c>
      <c r="W66" s="4">
        <v>5000</v>
      </c>
      <c r="X66" s="7"/>
      <c r="Y66" s="4">
        <v>2300</v>
      </c>
      <c r="Z66" s="4">
        <v>4800</v>
      </c>
      <c r="AA66" s="7"/>
      <c r="AB66" s="4" t="s">
        <v>28</v>
      </c>
      <c r="AC66" s="4">
        <v>3200</v>
      </c>
      <c r="AD66" s="7"/>
      <c r="AE66" s="4">
        <v>1900</v>
      </c>
      <c r="AF66" s="4">
        <v>1600</v>
      </c>
      <c r="AG66" s="7"/>
      <c r="AH66" s="4" t="s">
        <v>28</v>
      </c>
      <c r="AI66" s="4">
        <v>17800</v>
      </c>
      <c r="AJ66" s="7"/>
      <c r="AK66" s="4">
        <v>5300</v>
      </c>
      <c r="AL66" s="5">
        <f t="shared" si="1"/>
        <v>72000</v>
      </c>
    </row>
    <row r="67" spans="1:38" s="16" customFormat="1" x14ac:dyDescent="0.35">
      <c r="A67" s="17" t="s">
        <v>72</v>
      </c>
      <c r="B67" s="18">
        <v>7300</v>
      </c>
      <c r="C67" s="19"/>
      <c r="D67" s="18">
        <v>2400</v>
      </c>
      <c r="E67" s="18">
        <v>12400</v>
      </c>
      <c r="F67" s="19"/>
      <c r="G67" s="18">
        <v>4500</v>
      </c>
      <c r="H67" s="18">
        <v>2000</v>
      </c>
      <c r="I67" s="19"/>
      <c r="J67" s="20" t="s">
        <v>28</v>
      </c>
      <c r="K67" s="18">
        <v>4600</v>
      </c>
      <c r="L67" s="19"/>
      <c r="M67" s="18">
        <v>2600</v>
      </c>
      <c r="N67" s="18">
        <v>3900</v>
      </c>
      <c r="O67" s="19"/>
      <c r="P67" s="20" t="s">
        <v>28</v>
      </c>
      <c r="Q67" s="18">
        <v>2500</v>
      </c>
      <c r="R67" s="19"/>
      <c r="S67" s="20" t="s">
        <v>28</v>
      </c>
      <c r="T67" s="18">
        <v>6300</v>
      </c>
      <c r="U67" s="19"/>
      <c r="V67" s="18">
        <v>2000</v>
      </c>
      <c r="W67" s="18">
        <v>7500</v>
      </c>
      <c r="X67" s="19"/>
      <c r="Y67" s="18">
        <v>2700</v>
      </c>
      <c r="Z67" s="18">
        <v>5500</v>
      </c>
      <c r="AA67" s="19"/>
      <c r="AB67" s="18">
        <v>3000</v>
      </c>
      <c r="AC67" s="18">
        <v>3200</v>
      </c>
      <c r="AD67" s="19"/>
      <c r="AE67" s="18">
        <v>1700</v>
      </c>
      <c r="AF67" s="18">
        <v>2300</v>
      </c>
      <c r="AG67" s="19"/>
      <c r="AH67" s="20" t="s">
        <v>28</v>
      </c>
      <c r="AI67" s="18">
        <v>18300</v>
      </c>
      <c r="AJ67" s="19"/>
      <c r="AK67" s="18">
        <v>5400</v>
      </c>
      <c r="AL67" s="5">
        <f t="shared" si="1"/>
        <v>75800</v>
      </c>
    </row>
    <row r="69" spans="1:38" x14ac:dyDescent="0.35">
      <c r="A69" s="7" t="s">
        <v>52</v>
      </c>
    </row>
    <row r="70" spans="1:38" x14ac:dyDescent="0.35">
      <c r="A70" s="7" t="s">
        <v>47</v>
      </c>
    </row>
    <row r="71" spans="1:38" x14ac:dyDescent="0.35">
      <c r="A71" s="7" t="s">
        <v>48</v>
      </c>
    </row>
    <row r="72" spans="1:38" x14ac:dyDescent="0.35">
      <c r="A72" s="7" t="s">
        <v>49</v>
      </c>
    </row>
    <row r="73" spans="1:38" x14ac:dyDescent="0.35">
      <c r="A73" s="7" t="s">
        <v>50</v>
      </c>
    </row>
  </sheetData>
  <mergeCells count="24">
    <mergeCell ref="AI7:AK7"/>
    <mergeCell ref="B7:D7"/>
    <mergeCell ref="E7:G7"/>
    <mergeCell ref="H7:J7"/>
    <mergeCell ref="K7:M7"/>
    <mergeCell ref="N7:P7"/>
    <mergeCell ref="Q7:S7"/>
    <mergeCell ref="T7:V7"/>
    <mergeCell ref="W7:Y7"/>
    <mergeCell ref="Z7:AB7"/>
    <mergeCell ref="AC7:AE7"/>
    <mergeCell ref="AF7:AH7"/>
    <mergeCell ref="AI44:AK44"/>
    <mergeCell ref="B44:D44"/>
    <mergeCell ref="E44:G44"/>
    <mergeCell ref="H44:J44"/>
    <mergeCell ref="K44:M44"/>
    <mergeCell ref="N44:P44"/>
    <mergeCell ref="Q44:S44"/>
    <mergeCell ref="T44:V44"/>
    <mergeCell ref="W44:Y44"/>
    <mergeCell ref="Z44:AB44"/>
    <mergeCell ref="AC44:AE44"/>
    <mergeCell ref="AF44:AH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68D6-1F9D-4E84-982E-2A6236F0F014}">
  <dimension ref="A1:C22"/>
  <sheetViews>
    <sheetView tabSelected="1" workbookViewId="0">
      <selection activeCell="A2" sqref="A2:XFD2"/>
    </sheetView>
  </sheetViews>
  <sheetFormatPr defaultRowHeight="14.5" x14ac:dyDescent="0.35"/>
  <sheetData>
    <row r="1" spans="1:3" x14ac:dyDescent="0.35">
      <c r="A1" t="s">
        <v>0</v>
      </c>
      <c r="B1" t="s">
        <v>13</v>
      </c>
      <c r="C1" t="s">
        <v>14</v>
      </c>
    </row>
    <row r="2" spans="1:3" x14ac:dyDescent="0.35">
      <c r="A2" s="3">
        <v>2005</v>
      </c>
      <c r="B2" s="5">
        <v>102900</v>
      </c>
      <c r="C2" s="5">
        <v>43300</v>
      </c>
    </row>
    <row r="3" spans="1:3" x14ac:dyDescent="0.35">
      <c r="A3" s="3">
        <v>2006</v>
      </c>
      <c r="B3" s="5">
        <v>95000</v>
      </c>
      <c r="C3" s="5">
        <v>45800</v>
      </c>
    </row>
    <row r="4" spans="1:3" x14ac:dyDescent="0.35">
      <c r="A4" s="3">
        <v>2007</v>
      </c>
      <c r="B4" s="5">
        <v>107800</v>
      </c>
      <c r="C4" s="5">
        <v>47900</v>
      </c>
    </row>
    <row r="5" spans="1:3" x14ac:dyDescent="0.35">
      <c r="A5" s="3">
        <v>2008</v>
      </c>
      <c r="B5" s="5">
        <v>105900</v>
      </c>
      <c r="C5" s="5">
        <v>49000</v>
      </c>
    </row>
    <row r="6" spans="1:3" x14ac:dyDescent="0.35">
      <c r="A6" s="3">
        <v>2009</v>
      </c>
      <c r="B6" s="5">
        <v>105400</v>
      </c>
      <c r="C6" s="5">
        <v>52600</v>
      </c>
    </row>
    <row r="7" spans="1:3" x14ac:dyDescent="0.35">
      <c r="A7" s="3">
        <v>2010</v>
      </c>
      <c r="B7" s="5">
        <v>98200</v>
      </c>
      <c r="C7" s="5">
        <v>50800</v>
      </c>
    </row>
    <row r="8" spans="1:3" x14ac:dyDescent="0.35">
      <c r="A8" s="3">
        <v>2011</v>
      </c>
      <c r="B8" s="5">
        <v>109100</v>
      </c>
      <c r="C8" s="5">
        <v>56400</v>
      </c>
    </row>
    <row r="9" spans="1:3" x14ac:dyDescent="0.35">
      <c r="A9" s="3">
        <v>2012</v>
      </c>
      <c r="B9" s="5">
        <v>104900</v>
      </c>
      <c r="C9" s="5">
        <v>58600</v>
      </c>
    </row>
    <row r="10" spans="1:3" x14ac:dyDescent="0.35">
      <c r="A10" s="3">
        <v>2013</v>
      </c>
      <c r="B10" s="5">
        <v>112800</v>
      </c>
      <c r="C10" s="5">
        <v>57700</v>
      </c>
    </row>
    <row r="11" spans="1:3" x14ac:dyDescent="0.35">
      <c r="A11" s="3">
        <v>2014</v>
      </c>
      <c r="B11" s="5">
        <v>116100</v>
      </c>
      <c r="C11" s="5">
        <v>68200</v>
      </c>
    </row>
    <row r="12" spans="1:3" x14ac:dyDescent="0.35">
      <c r="A12" s="3">
        <v>2015</v>
      </c>
      <c r="B12" s="5">
        <v>120000</v>
      </c>
      <c r="C12" s="5">
        <v>66400</v>
      </c>
    </row>
    <row r="13" spans="1:3" x14ac:dyDescent="0.35">
      <c r="A13" s="3">
        <v>2016</v>
      </c>
      <c r="B13" s="5">
        <v>123300</v>
      </c>
      <c r="C13" s="5">
        <v>71000</v>
      </c>
    </row>
    <row r="14" spans="1:3" x14ac:dyDescent="0.35">
      <c r="A14" s="3">
        <v>2017</v>
      </c>
      <c r="B14" s="5">
        <v>123800</v>
      </c>
      <c r="C14" s="5">
        <v>65700</v>
      </c>
    </row>
    <row r="15" spans="1:3" x14ac:dyDescent="0.35">
      <c r="A15" s="3">
        <v>2018</v>
      </c>
      <c r="B15" s="5">
        <v>126300</v>
      </c>
      <c r="C15" s="5">
        <v>66300</v>
      </c>
    </row>
    <row r="16" spans="1:3" x14ac:dyDescent="0.35">
      <c r="A16" s="3">
        <v>2019</v>
      </c>
      <c r="B16" s="5">
        <v>132200</v>
      </c>
      <c r="C16" s="5">
        <v>72600</v>
      </c>
    </row>
    <row r="17" spans="1:3" x14ac:dyDescent="0.35">
      <c r="A17" s="3">
        <v>2020</v>
      </c>
      <c r="B17" s="5">
        <v>110000</v>
      </c>
      <c r="C17" s="5">
        <v>72600</v>
      </c>
    </row>
    <row r="18" spans="1:3" x14ac:dyDescent="0.35">
      <c r="A18" s="3">
        <v>2021</v>
      </c>
      <c r="B18" s="5">
        <v>95900</v>
      </c>
      <c r="C18" s="5">
        <v>62300</v>
      </c>
    </row>
    <row r="19" spans="1:3" x14ac:dyDescent="0.35">
      <c r="A19" s="3">
        <v>2022</v>
      </c>
      <c r="B19" s="5">
        <v>102100</v>
      </c>
      <c r="C19" s="5">
        <v>67100</v>
      </c>
    </row>
    <row r="20" spans="1:3" x14ac:dyDescent="0.35">
      <c r="A20" s="3">
        <v>2023</v>
      </c>
      <c r="B20" s="5">
        <v>107300</v>
      </c>
      <c r="C20" s="5">
        <v>76900</v>
      </c>
    </row>
    <row r="21" spans="1:3" x14ac:dyDescent="0.35">
      <c r="A21" s="3">
        <v>2024</v>
      </c>
      <c r="B21" s="5">
        <v>116400</v>
      </c>
      <c r="C21" s="5">
        <v>72000</v>
      </c>
    </row>
    <row r="22" spans="1:3" x14ac:dyDescent="0.35">
      <c r="A22" s="3">
        <v>2025</v>
      </c>
      <c r="B22" s="5">
        <v>110700</v>
      </c>
      <c r="C22" s="5">
        <v>75800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2026-04-09T10:39:16Z</dcterms:created>
  <dcterms:modified xsi:type="dcterms:W3CDTF">2026-04-22T11:02:12Z</dcterms:modified>
</cp:coreProperties>
</file>