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Self-employment\"/>
    </mc:Choice>
  </mc:AlternateContent>
  <xr:revisionPtr revIDLastSave="0" documentId="13_ncr:1_{B3AAA346-A0CC-407B-BF10-118FB3B0220E}" xr6:coauthVersionLast="47" xr6:coauthVersionMax="47" xr10:uidLastSave="{00000000-0000-0000-0000-000000000000}"/>
  <bookViews>
    <workbookView xWindow="-110" yWindow="-110" windowWidth="19420" windowHeight="11500" activeTab="3" xr2:uid="{8EF43346-74BC-42A3-B605-9CC57EAA65B0}"/>
  </bookViews>
  <sheets>
    <sheet name="Metadata" sheetId="1" r:id="rId1"/>
    <sheet name="Data" sheetId="2" r:id="rId2"/>
    <sheet name="old_Analysi s" sheetId="3" r:id="rId3"/>
    <sheet name="Analysi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70" i="2" l="1"/>
  <c r="AY70" i="2"/>
  <c r="AX71" i="2"/>
  <c r="AY71" i="2"/>
  <c r="AZ70" i="2" l="1"/>
  <c r="AZ71" i="2"/>
</calcChain>
</file>

<file path=xl/sharedStrings.xml><?xml version="1.0" encoding="utf-8"?>
<sst xmlns="http://schemas.openxmlformats.org/spreadsheetml/2006/main" count="265" uniqueCount="97">
  <si>
    <t>Data information:</t>
  </si>
  <si>
    <t>Aggregated by NOMIS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</si>
  <si>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</si>
  <si>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 England, England excl. London.</t>
  </si>
  <si>
    <t>Geography used for analysis</t>
  </si>
  <si>
    <t>Last updated</t>
  </si>
  <si>
    <t>Created date</t>
  </si>
  <si>
    <t>Nomis - Query Tool - annual population survey</t>
  </si>
  <si>
    <t>Link</t>
  </si>
  <si>
    <t>Next update</t>
  </si>
  <si>
    <t>Publication date</t>
  </si>
  <si>
    <t>Trends in rate of self employment</t>
  </si>
  <si>
    <t>Tables</t>
  </si>
  <si>
    <t>Annual Population Survey</t>
  </si>
  <si>
    <t>Dataset</t>
  </si>
  <si>
    <t>Nomis</t>
  </si>
  <si>
    <t>Publisher</t>
  </si>
  <si>
    <t>APS Estimates have not been reweighted to new populations and consequently, will be inconsistent with the population totals used for the Labour Force Survey in the latest periods.</t>
  </si>
  <si>
    <t>Health and disability variables for APS periods ending Mar 2020, Jun 2020 and Sep 2020 were revised on 2 March 2021. For more details see [http://www.nomisweb.co.uk/articles/1247.aspx].</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</si>
  <si>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</si>
  <si>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 Estimate and confidence interval unreliable since the group sample size is small (3-9).</t>
  </si>
  <si>
    <t>*</t>
  </si>
  <si>
    <t>Jan 2024-Dec 2024</t>
  </si>
  <si>
    <t>Jan 2023-Dec 2023</t>
  </si>
  <si>
    <t>Jan 2022-Dec 2022</t>
  </si>
  <si>
    <t>Jan 2021-Dec 2021</t>
  </si>
  <si>
    <t>Jan 2020-Dec 2020</t>
  </si>
  <si>
    <t>Jan 2019-Dec 2019</t>
  </si>
  <si>
    <t>Jan 2018-Dec 2018</t>
  </si>
  <si>
    <t>Jan 2017-Dec 2017</t>
  </si>
  <si>
    <t>Jan 2016-Dec 2016</t>
  </si>
  <si>
    <t>Jan 2015-Dec 2015</t>
  </si>
  <si>
    <t>Jan 2014-Dec 2014</t>
  </si>
  <si>
    <t>Jan 2013-Dec 2013</t>
  </si>
  <si>
    <t>Jan 2012-Dec 2012</t>
  </si>
  <si>
    <t>Jan 2011-Dec 2011</t>
  </si>
  <si>
    <t>Jan 2010-Dec 2010</t>
  </si>
  <si>
    <t>Jan 2009-Dec 2009</t>
  </si>
  <si>
    <t>Jan 2008-Dec 2008</t>
  </si>
  <si>
    <t>Jan 2007-Dec 2007</t>
  </si>
  <si>
    <t>Jan 2006-Dec 2006</t>
  </si>
  <si>
    <t>Jan 2005-Dec 2005</t>
  </si>
  <si>
    <t>Jan 2004-Dec 2004</t>
  </si>
  <si>
    <t>conf</t>
  </si>
  <si>
    <t>percent</t>
  </si>
  <si>
    <t>denominator</t>
  </si>
  <si>
    <t>numerator</t>
  </si>
  <si>
    <t>gor:London</t>
  </si>
  <si>
    <t>country:England</t>
  </si>
  <si>
    <t>ladu2023:Wiltshire</t>
  </si>
  <si>
    <t>ladu2023:Tewkesbury</t>
  </si>
  <si>
    <t>ladu2023:Swindon</t>
  </si>
  <si>
    <t>ladu2023:Stroud</t>
  </si>
  <si>
    <t>ladu2023:South Gloucestershire</t>
  </si>
  <si>
    <t>ladu2023:North Somerset</t>
  </si>
  <si>
    <t>ladu2023:Gloucester</t>
  </si>
  <si>
    <t>ladu2023:Forest of Dean</t>
  </si>
  <si>
    <t>ladu2023:Cotswold</t>
  </si>
  <si>
    <t>ladu2023:Cheltenham</t>
  </si>
  <si>
    <t>ladu2023:Bristol, City of</t>
  </si>
  <si>
    <t>ladu2023:Bath and North East Somerset</t>
  </si>
  <si>
    <t>Date</t>
  </si>
  <si>
    <t>% in employment who are self employed - aged 16+</t>
  </si>
  <si>
    <t>variable</t>
  </si>
  <si>
    <t>95% confidence interval of percent figure (+/-)</t>
  </si>
  <si>
    <t>confidence</t>
  </si>
  <si>
    <t>ONS Crown Copyright Reserved [from Nomis on 8 April 2026]</t>
  </si>
  <si>
    <t>annual population survey</t>
  </si>
  <si>
    <t>England excl. London</t>
  </si>
  <si>
    <t>England</t>
  </si>
  <si>
    <t>Greater West of England</t>
  </si>
  <si>
    <t>Area</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</si>
  <si>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</si>
  <si>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</si>
  <si>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</si>
  <si>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</si>
  <si>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</si>
  <si>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</si>
  <si>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</si>
  <si>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</si>
  <si>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</si>
  <si>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</si>
  <si>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</si>
  <si>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</si>
  <si>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</si>
  <si>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</si>
  <si>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</si>
  <si>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</si>
  <si>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</si>
  <si>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</si>
  <si>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</si>
  <si>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</si>
  <si>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</si>
  <si>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Year</t>
  </si>
  <si>
    <t>Jan 2025-Dec 2025</t>
  </si>
  <si>
    <t>ONS Crown Copyright Reserved [from Nomis on 22 April 2026]</t>
  </si>
  <si>
    <t>Self-employment as a percentage of all in employment (aged 16+). Self-employment defined on the basis of survey responses, with rates based on responses over a calendar year. 
APS Estimates have not been reweighted to new populations and consequently, will be inconsistent with the population totals used for the Labour Force Survey in the latest periods.
Data covers Jan - Dec of said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</si>
</sst>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sz val="10"/>
      <name val="Arial"/>
      <family val="2"/>
    </font>
    <font>
      <b/>
      <sz val="10"/>
      <name val="Arial"/>
      <family val="2"/>
    </font>
    <font>
      <b/>
      <sz val="12"/>
      <name val="Arial"/>
      <family val="2"/>
    </font>
    <font>
      <b/>
      <sz val="11"/>
      <name val="Aptos Narrow"/>
      <family val="2"/>
      <scheme val="minor"/>
    </font>
    <font>
      <sz val="11"/>
      <color rgb="FF333333"/>
      <name val="Aptos Narrow"/>
      <family val="2"/>
      <scheme val="minor"/>
    </font>
  </fonts>
  <fills count="2">
    <fill>
      <patternFill patternType="none"/>
    </fill>
    <fill>
      <patternFill patternType="gray125"/>
    </fill>
  </fills>
  <borders count="3">
    <border>
      <left/>
      <right/>
      <top/>
      <bottom/>
      <diagonal/>
    </border>
    <border>
      <left/>
      <right style="thick">
        <color rgb="FFE9E7F0"/>
      </right>
      <top/>
      <bottom style="dotted">
        <color rgb="FFE9E6E6"/>
      </bottom>
      <diagonal/>
    </border>
    <border>
      <left/>
      <right style="medium">
        <color rgb="FFE9E7F0"/>
      </right>
      <top/>
      <bottom style="dotted">
        <color rgb="FFE9E6E6"/>
      </bottom>
      <diagonal/>
    </border>
  </borders>
  <cellStyleXfs count="3">
    <xf numFmtId="0" fontId="0" fillId="0" borderId="0"/>
    <xf numFmtId="0" fontId="2" fillId="0" borderId="0"/>
    <xf numFmtId="0" fontId="4" fillId="0" borderId="0" applyNumberFormat="0" applyFill="0" applyBorder="0" applyAlignment="0" applyProtection="0"/>
  </cellStyleXfs>
  <cellXfs count="39">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6" fillId="0" borderId="0" xfId="1" applyFont="1"/>
    <xf numFmtId="0" fontId="2" fillId="0" borderId="0" xfId="1"/>
    <xf numFmtId="164" fontId="6" fillId="0" borderId="0" xfId="1" applyNumberFormat="1" applyFont="1" applyAlignment="1">
      <alignment horizontal="right"/>
    </xf>
    <xf numFmtId="3" fontId="6" fillId="0" borderId="0" xfId="1" applyNumberFormat="1" applyFont="1" applyAlignment="1">
      <alignment horizontal="right"/>
    </xf>
    <xf numFmtId="0" fontId="6" fillId="0" borderId="0" xfId="1" applyFont="1" applyAlignment="1">
      <alignment horizontal="left"/>
    </xf>
    <xf numFmtId="0" fontId="7" fillId="0" borderId="0" xfId="1" applyFont="1" applyAlignment="1">
      <alignment horizontal="right" vertical="center"/>
    </xf>
    <xf numFmtId="0" fontId="7" fillId="0" borderId="0" xfId="1" applyFont="1" applyAlignment="1">
      <alignment horizontal="left" vertical="center" wrapText="1"/>
    </xf>
    <xf numFmtId="0" fontId="8" fillId="0" borderId="0" xfId="1" applyFont="1" applyAlignment="1">
      <alignment horizontal="left" vertical="center"/>
    </xf>
    <xf numFmtId="165" fontId="0" fillId="0" borderId="0" xfId="0" applyNumberFormat="1"/>
    <xf numFmtId="164" fontId="3" fillId="0" borderId="0" xfId="1" applyNumberFormat="1" applyFont="1" applyAlignment="1">
      <alignment horizontal="right"/>
    </xf>
    <xf numFmtId="0" fontId="2" fillId="0" borderId="0" xfId="1"/>
    <xf numFmtId="0" fontId="9" fillId="0" borderId="0" xfId="1" applyFont="1" applyAlignment="1">
      <alignment horizontal="right"/>
    </xf>
    <xf numFmtId="0" fontId="2" fillId="0" borderId="0" xfId="1"/>
    <xf numFmtId="3" fontId="10" fillId="0" borderId="2" xfId="0" applyNumberFormat="1" applyFont="1" applyFill="1" applyBorder="1" applyAlignment="1">
      <alignment horizontal="right" vertical="center" wrapText="1"/>
    </xf>
    <xf numFmtId="0" fontId="10" fillId="0" borderId="2" xfId="0" applyFont="1" applyFill="1" applyBorder="1" applyAlignment="1">
      <alignment horizontal="right" vertical="center" wrapText="1"/>
    </xf>
    <xf numFmtId="0" fontId="3" fillId="0" borderId="1" xfId="0" applyFont="1" applyFill="1" applyBorder="1" applyAlignment="1">
      <alignment horizontal="left"/>
    </xf>
    <xf numFmtId="3" fontId="2" fillId="0" borderId="0" xfId="1" applyNumberFormat="1"/>
    <xf numFmtId="165" fontId="3" fillId="0" borderId="0" xfId="1" applyNumberFormat="1" applyFont="1" applyAlignment="1">
      <alignment horizontal="right"/>
    </xf>
    <xf numFmtId="165" fontId="3" fillId="0" borderId="0" xfId="1" applyNumberFormat="1" applyFont="1" applyFill="1" applyAlignment="1">
      <alignment horizontal="right"/>
    </xf>
    <xf numFmtId="0" fontId="7" fillId="0" borderId="0" xfId="1" applyFont="1" applyAlignment="1">
      <alignment horizontal="center" vertical="center" wrapText="1"/>
    </xf>
    <xf numFmtId="0" fontId="2" fillId="0" borderId="0" xfId="1"/>
    <xf numFmtId="0" fontId="2" fillId="0" borderId="0" xfId="1"/>
    <xf numFmtId="0" fontId="8" fillId="0" borderId="0" xfId="1" applyFont="1" applyAlignment="1">
      <alignment horizontal="left" vertical="center"/>
    </xf>
    <xf numFmtId="0" fontId="6" fillId="0" borderId="0" xfId="1" applyFont="1"/>
    <xf numFmtId="0" fontId="6" fillId="0" borderId="0" xfId="1" applyFont="1" applyAlignment="1">
      <alignment horizontal="left"/>
    </xf>
    <xf numFmtId="0" fontId="7" fillId="0" borderId="0" xfId="1" applyFont="1" applyAlignment="1">
      <alignment horizontal="right" vertical="center"/>
    </xf>
    <xf numFmtId="0" fontId="7" fillId="0" borderId="0" xfId="1" applyFont="1" applyAlignment="1">
      <alignment horizontal="left" vertical="center" wrapText="1"/>
    </xf>
    <xf numFmtId="0" fontId="6" fillId="0" borderId="0" xfId="1" applyNumberFormat="1" applyFont="1" applyAlignment="1">
      <alignment horizontal="left"/>
    </xf>
    <xf numFmtId="3" fontId="6" fillId="0" borderId="0" xfId="1" applyNumberFormat="1" applyFont="1" applyAlignment="1">
      <alignment horizontal="right"/>
    </xf>
    <xf numFmtId="164" fontId="6" fillId="0" borderId="0" xfId="1" applyNumberFormat="1" applyFont="1" applyAlignment="1">
      <alignment horizontal="right"/>
    </xf>
  </cellXfs>
  <cellStyles count="3">
    <cellStyle name="Hyperlink" xfId="2" builtinId="8"/>
    <cellStyle name="Normal" xfId="0" builtinId="0"/>
    <cellStyle name="Normal 2" xfId="1" xr:uid="{CADBDB53-32EC-4872-9CFA-7A40DF0994B6}"/>
  </cellStyles>
  <dxfs count="1">
    <dxf>
      <font>
        <b/>
        <i val="0"/>
        <strike val="0"/>
        <condense val="0"/>
        <extend val="0"/>
        <outline val="0"/>
        <shadow val="0"/>
        <u val="none"/>
        <vertAlign val="baseline"/>
        <sz val="11"/>
        <color auto="1"/>
        <name val="Aptos Narrow"/>
        <family val="2"/>
        <scheme val="minor"/>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B05448-57B4-4581-A57D-FA338CF4544C}" name="Table1" displayName="Table1" ref="A1:V4" totalsRowShown="0" headerRowDxfId="0" headerRowCellStyle="Normal 2">
  <autoFilter ref="A1:V4" xr:uid="{39B05448-57B4-4581-A57D-FA338CF4544C}"/>
  <tableColumns count="22">
    <tableColumn id="1" xr3:uid="{C50FFE41-174A-4ACB-94F4-F2FE1A234908}" name="Area"/>
    <tableColumn id="2" xr3:uid="{E7549ACC-93A5-4EFF-A635-5A3D6704CBD2}" name="2004"/>
    <tableColumn id="3" xr3:uid="{11A150E8-1DDB-491C-BD13-8D885740D037}" name="2005"/>
    <tableColumn id="4" xr3:uid="{874C95A0-3F96-43BE-B43C-9042B50AA807}" name="2006"/>
    <tableColumn id="5" xr3:uid="{0E9545F8-DE2A-4A0F-A0A4-6949D54F07AE}" name="2007"/>
    <tableColumn id="6" xr3:uid="{9D1DAA90-9980-477E-959A-93C13AB7F453}" name="2008"/>
    <tableColumn id="7" xr3:uid="{8D02EC67-C26B-42D8-9A52-BD158C8BBEC0}" name="2009"/>
    <tableColumn id="8" xr3:uid="{D3627977-7A21-439F-830C-7648C58B400E}" name="2010"/>
    <tableColumn id="9" xr3:uid="{67B8E072-FECB-4FF3-AF38-A44EEAA37DCA}" name="2011"/>
    <tableColumn id="10" xr3:uid="{4AD59894-66AC-43E5-8E71-33C03DA62320}" name="2012"/>
    <tableColumn id="11" xr3:uid="{1C64365F-13C2-4358-9178-0F9D4280369A}" name="2013"/>
    <tableColumn id="12" xr3:uid="{11EF798B-2FB5-43EC-93F6-5E0EC166AFA6}" name="2014"/>
    <tableColumn id="13" xr3:uid="{216DC8AD-2524-4C3A-930A-C35E74D612F7}" name="2015"/>
    <tableColumn id="14" xr3:uid="{26794F83-54F2-4E19-A3B9-4B9698D7D00D}" name="2016"/>
    <tableColumn id="15" xr3:uid="{B583F75C-19F5-406E-BEF0-A31C23859E28}" name="2017"/>
    <tableColumn id="16" xr3:uid="{E1015F13-0B3E-44A8-8B2D-09A1414DB310}" name="2018"/>
    <tableColumn id="17" xr3:uid="{E18B1ABA-291B-4DFA-AC95-09C281DC19D6}" name="2019"/>
    <tableColumn id="18" xr3:uid="{F3BFCA8F-4496-431E-A29F-06BEC75D886D}" name="2020"/>
    <tableColumn id="19" xr3:uid="{256E3F1E-AFA3-47E5-BB8C-F88662C54026}" name="2021"/>
    <tableColumn id="20" xr3:uid="{DE5BABB5-B099-4523-8B6A-ED3308D4094E}" name="2022"/>
    <tableColumn id="21" xr3:uid="{6985B9A7-2643-47CF-BFDD-EE5F461A6A4A}" name="2023"/>
    <tableColumn id="22" xr3:uid="{B4F62ABE-6BD4-49DA-B41E-48134D2EECA2}" name="202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8EAF-007B-43A4-AC20-49B9CCAC7F12}">
  <dimension ref="A1:B11"/>
  <sheetViews>
    <sheetView workbookViewId="0">
      <selection activeCell="C13" sqref="C13"/>
    </sheetView>
  </sheetViews>
  <sheetFormatPr defaultRowHeight="14.5" x14ac:dyDescent="0.35"/>
  <cols>
    <col min="1" max="1" width="24.36328125" bestFit="1" customWidth="1"/>
    <col min="2" max="2" width="77.36328125" customWidth="1"/>
  </cols>
  <sheetData>
    <row r="1" spans="1:2" x14ac:dyDescent="0.35">
      <c r="A1" s="2" t="s">
        <v>16</v>
      </c>
      <c r="B1" s="3" t="s">
        <v>15</v>
      </c>
    </row>
    <row r="2" spans="1:2" x14ac:dyDescent="0.35">
      <c r="A2" s="2" t="s">
        <v>14</v>
      </c>
      <c r="B2" s="8" t="s">
        <v>13</v>
      </c>
    </row>
    <row r="3" spans="1:2" x14ac:dyDescent="0.35">
      <c r="A3" s="2" t="s">
        <v>12</v>
      </c>
      <c r="B3" s="8" t="s">
        <v>11</v>
      </c>
    </row>
    <row r="4" spans="1:2" x14ac:dyDescent="0.35">
      <c r="A4" s="2" t="s">
        <v>10</v>
      </c>
      <c r="B4" s="7">
        <v>46042</v>
      </c>
    </row>
    <row r="5" spans="1:2" x14ac:dyDescent="0.35">
      <c r="A5" s="2" t="s">
        <v>9</v>
      </c>
      <c r="B5" s="6">
        <v>46113</v>
      </c>
    </row>
    <row r="6" spans="1:2" x14ac:dyDescent="0.35">
      <c r="A6" s="2" t="s">
        <v>8</v>
      </c>
      <c r="B6" s="5" t="s">
        <v>7</v>
      </c>
    </row>
    <row r="7" spans="1:2" x14ac:dyDescent="0.35">
      <c r="A7" s="2" t="s">
        <v>6</v>
      </c>
      <c r="B7" s="4">
        <v>46121</v>
      </c>
    </row>
    <row r="8" spans="1:2" x14ac:dyDescent="0.35">
      <c r="A8" s="2" t="s">
        <v>5</v>
      </c>
      <c r="B8" s="4">
        <v>46121</v>
      </c>
    </row>
    <row r="9" spans="1:2" ht="58" x14ac:dyDescent="0.35">
      <c r="A9" s="2" t="s">
        <v>4</v>
      </c>
      <c r="B9" s="3" t="s">
        <v>3</v>
      </c>
    </row>
    <row r="10" spans="1:2" x14ac:dyDescent="0.35">
      <c r="A10" s="2" t="s">
        <v>2</v>
      </c>
      <c r="B10" s="3" t="s">
        <v>1</v>
      </c>
    </row>
    <row r="11" spans="1:2" ht="87" x14ac:dyDescent="0.35">
      <c r="A11" s="2" t="s">
        <v>0</v>
      </c>
      <c r="B11" s="1" t="s">
        <v>96</v>
      </c>
    </row>
  </sheetData>
  <hyperlinks>
    <hyperlink ref="B6" r:id="rId1" display="https://www.nomisweb.co.uk/query/construct/summary.asp" xr:uid="{89BD61CF-AC2D-429C-BCC5-5D66DA35605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2C5D-8F2C-44C6-A78E-4EFEF3A328D8}">
  <dimension ref="A1:BE74"/>
  <sheetViews>
    <sheetView topLeftCell="A12" workbookViewId="0">
      <selection activeCell="F82" sqref="F82"/>
    </sheetView>
  </sheetViews>
  <sheetFormatPr defaultRowHeight="14.5" x14ac:dyDescent="0.35"/>
  <cols>
    <col min="1" max="1" width="17" customWidth="1"/>
    <col min="2" max="2" width="9.7265625" bestFit="1" customWidth="1"/>
    <col min="3" max="3" width="11.6328125" bestFit="1" customWidth="1"/>
    <col min="4" max="4" width="7.36328125" bestFit="1" customWidth="1"/>
    <col min="5" max="5" width="4.6328125" bestFit="1" customWidth="1"/>
    <col min="6" max="6" width="9.7265625" bestFit="1" customWidth="1"/>
    <col min="7" max="7" width="11.6328125" bestFit="1" customWidth="1"/>
    <col min="8" max="8" width="7.36328125" bestFit="1" customWidth="1"/>
    <col min="9" max="9" width="4.6328125" bestFit="1" customWidth="1"/>
    <col min="10" max="10" width="9.7265625" bestFit="1" customWidth="1"/>
    <col min="11" max="11" width="11.6328125" bestFit="1" customWidth="1"/>
    <col min="12" max="12" width="7.36328125" bestFit="1" customWidth="1"/>
    <col min="13" max="13" width="4.6328125" bestFit="1" customWidth="1"/>
    <col min="14" max="14" width="9.7265625" bestFit="1" customWidth="1"/>
    <col min="15" max="15" width="11.6328125" bestFit="1" customWidth="1"/>
    <col min="16" max="16" width="7.36328125" bestFit="1" customWidth="1"/>
    <col min="17" max="17" width="4.6328125" bestFit="1" customWidth="1"/>
    <col min="18" max="18" width="9.7265625" bestFit="1" customWidth="1"/>
    <col min="19" max="19" width="11.6328125" bestFit="1" customWidth="1"/>
    <col min="20" max="20" width="7.36328125" bestFit="1" customWidth="1"/>
    <col min="21" max="21" width="4.6328125" bestFit="1" customWidth="1"/>
    <col min="22" max="22" width="9.7265625" bestFit="1" customWidth="1"/>
    <col min="23" max="23" width="11.6328125" bestFit="1" customWidth="1"/>
    <col min="24" max="24" width="7.36328125" bestFit="1" customWidth="1"/>
    <col min="25" max="25" width="4.6328125" bestFit="1" customWidth="1"/>
    <col min="26" max="26" width="9.7265625" bestFit="1" customWidth="1"/>
    <col min="27" max="27" width="11.6328125" bestFit="1" customWidth="1"/>
    <col min="28" max="28" width="7.36328125" bestFit="1" customWidth="1"/>
    <col min="29" max="29" width="4.6328125" bestFit="1" customWidth="1"/>
    <col min="30" max="30" width="9.7265625" bestFit="1" customWidth="1"/>
    <col min="31" max="31" width="11.6328125" bestFit="1" customWidth="1"/>
    <col min="32" max="32" width="7.36328125" bestFit="1" customWidth="1"/>
    <col min="33" max="33" width="4.6328125" bestFit="1" customWidth="1"/>
    <col min="34" max="34" width="9.7265625" bestFit="1" customWidth="1"/>
    <col min="35" max="35" width="11.6328125" bestFit="1" customWidth="1"/>
    <col min="36" max="36" width="7.36328125" bestFit="1" customWidth="1"/>
    <col min="37" max="37" width="4.6328125" bestFit="1" customWidth="1"/>
    <col min="38" max="38" width="9.7265625" bestFit="1" customWidth="1"/>
    <col min="39" max="39" width="11.6328125" bestFit="1" customWidth="1"/>
    <col min="40" max="40" width="7.36328125" bestFit="1" customWidth="1"/>
    <col min="41" max="41" width="4.6328125" bestFit="1" customWidth="1"/>
    <col min="42" max="42" width="9.7265625" bestFit="1" customWidth="1"/>
    <col min="43" max="43" width="11.6328125" bestFit="1" customWidth="1"/>
    <col min="44" max="44" width="7.36328125" bestFit="1" customWidth="1"/>
    <col min="45" max="45" width="4.6328125" bestFit="1" customWidth="1"/>
    <col min="46" max="46" width="9.7265625" bestFit="1" customWidth="1"/>
    <col min="47" max="47" width="11.6328125" bestFit="1" customWidth="1"/>
    <col min="48" max="48" width="7.36328125" bestFit="1" customWidth="1"/>
    <col min="49" max="49" width="4.6328125" bestFit="1" customWidth="1"/>
    <col min="50" max="50" width="9.7265625" bestFit="1" customWidth="1"/>
    <col min="51" max="51" width="11.6328125" bestFit="1" customWidth="1"/>
    <col min="52" max="52" width="7.36328125" bestFit="1" customWidth="1"/>
    <col min="53" max="53" width="4.6328125" bestFit="1" customWidth="1"/>
    <col min="54" max="54" width="9.7265625" bestFit="1" customWidth="1"/>
    <col min="55" max="55" width="11.6328125" bestFit="1" customWidth="1"/>
    <col min="56" max="56" width="7.36328125" bestFit="1" customWidth="1"/>
    <col min="57" max="57" width="4.6328125" bestFit="1" customWidth="1"/>
  </cols>
  <sheetData>
    <row r="1" spans="1:57" ht="15.5" x14ac:dyDescent="0.35">
      <c r="A1" s="31" t="s">
        <v>67</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row>
    <row r="2" spans="1:57" x14ac:dyDescent="0.35">
      <c r="A2" s="32" t="s">
        <v>95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row>
    <row r="4" spans="1:57" x14ac:dyDescent="0.35">
      <c r="A4" s="33" t="s">
        <v>65</v>
      </c>
      <c r="B4" s="33" t="s">
        <v>64</v>
      </c>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row>
    <row r="5" spans="1:57" x14ac:dyDescent="0.35">
      <c r="A5" s="33" t="s">
        <v>63</v>
      </c>
      <c r="B5" s="33" t="s">
        <v>62</v>
      </c>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row>
    <row r="7" spans="1:57" x14ac:dyDescent="0.35">
      <c r="A7" s="35" t="s">
        <v>61</v>
      </c>
      <c r="B7" s="28" t="s">
        <v>60</v>
      </c>
      <c r="C7" s="29"/>
      <c r="D7" s="29"/>
      <c r="E7" s="29"/>
      <c r="F7" s="28" t="s">
        <v>59</v>
      </c>
      <c r="G7" s="29"/>
      <c r="H7" s="29"/>
      <c r="I7" s="29"/>
      <c r="J7" s="28" t="s">
        <v>58</v>
      </c>
      <c r="K7" s="29"/>
      <c r="L7" s="29"/>
      <c r="M7" s="29"/>
      <c r="N7" s="28" t="s">
        <v>57</v>
      </c>
      <c r="O7" s="29"/>
      <c r="P7" s="29"/>
      <c r="Q7" s="29"/>
      <c r="R7" s="28" t="s">
        <v>56</v>
      </c>
      <c r="S7" s="29"/>
      <c r="T7" s="29"/>
      <c r="U7" s="29"/>
      <c r="V7" s="28" t="s">
        <v>55</v>
      </c>
      <c r="W7" s="29"/>
      <c r="X7" s="29"/>
      <c r="Y7" s="29"/>
      <c r="Z7" s="28" t="s">
        <v>54</v>
      </c>
      <c r="AA7" s="29"/>
      <c r="AB7" s="29"/>
      <c r="AC7" s="29"/>
      <c r="AD7" s="28" t="s">
        <v>53</v>
      </c>
      <c r="AE7" s="29"/>
      <c r="AF7" s="29"/>
      <c r="AG7" s="29"/>
      <c r="AH7" s="28" t="s">
        <v>52</v>
      </c>
      <c r="AI7" s="29"/>
      <c r="AJ7" s="29"/>
      <c r="AK7" s="29"/>
      <c r="AL7" s="28" t="s">
        <v>51</v>
      </c>
      <c r="AM7" s="29"/>
      <c r="AN7" s="29"/>
      <c r="AO7" s="29"/>
      <c r="AP7" s="28" t="s">
        <v>50</v>
      </c>
      <c r="AQ7" s="29"/>
      <c r="AR7" s="29"/>
      <c r="AS7" s="29"/>
      <c r="AT7" s="28" t="s">
        <v>49</v>
      </c>
      <c r="AU7" s="29"/>
      <c r="AV7" s="29"/>
      <c r="AW7" s="29"/>
      <c r="AX7" s="28" t="s">
        <v>48</v>
      </c>
      <c r="AY7" s="29"/>
      <c r="AZ7" s="29"/>
      <c r="BA7" s="29"/>
      <c r="BB7" s="28" t="s">
        <v>47</v>
      </c>
      <c r="BC7" s="29"/>
      <c r="BD7" s="29"/>
      <c r="BE7" s="29"/>
    </row>
    <row r="8" spans="1:57" x14ac:dyDescent="0.35">
      <c r="A8" s="30"/>
      <c r="B8" s="34" t="s">
        <v>46</v>
      </c>
      <c r="C8" s="34" t="s">
        <v>45</v>
      </c>
      <c r="D8" s="34" t="s">
        <v>44</v>
      </c>
      <c r="E8" s="34" t="s">
        <v>43</v>
      </c>
      <c r="F8" s="34" t="s">
        <v>46</v>
      </c>
      <c r="G8" s="34" t="s">
        <v>45</v>
      </c>
      <c r="H8" s="34" t="s">
        <v>44</v>
      </c>
      <c r="I8" s="34" t="s">
        <v>43</v>
      </c>
      <c r="J8" s="34" t="s">
        <v>46</v>
      </c>
      <c r="K8" s="34" t="s">
        <v>45</v>
      </c>
      <c r="L8" s="34" t="s">
        <v>44</v>
      </c>
      <c r="M8" s="34" t="s">
        <v>43</v>
      </c>
      <c r="N8" s="34" t="s">
        <v>46</v>
      </c>
      <c r="O8" s="34" t="s">
        <v>45</v>
      </c>
      <c r="P8" s="34" t="s">
        <v>44</v>
      </c>
      <c r="Q8" s="34" t="s">
        <v>43</v>
      </c>
      <c r="R8" s="34" t="s">
        <v>46</v>
      </c>
      <c r="S8" s="34" t="s">
        <v>45</v>
      </c>
      <c r="T8" s="34" t="s">
        <v>44</v>
      </c>
      <c r="U8" s="34" t="s">
        <v>43</v>
      </c>
      <c r="V8" s="34" t="s">
        <v>46</v>
      </c>
      <c r="W8" s="34" t="s">
        <v>45</v>
      </c>
      <c r="X8" s="34" t="s">
        <v>44</v>
      </c>
      <c r="Y8" s="34" t="s">
        <v>43</v>
      </c>
      <c r="Z8" s="34" t="s">
        <v>46</v>
      </c>
      <c r="AA8" s="34" t="s">
        <v>45</v>
      </c>
      <c r="AB8" s="34" t="s">
        <v>44</v>
      </c>
      <c r="AC8" s="34" t="s">
        <v>43</v>
      </c>
      <c r="AD8" s="34" t="s">
        <v>46</v>
      </c>
      <c r="AE8" s="34" t="s">
        <v>45</v>
      </c>
      <c r="AF8" s="34" t="s">
        <v>44</v>
      </c>
      <c r="AG8" s="34" t="s">
        <v>43</v>
      </c>
      <c r="AH8" s="34" t="s">
        <v>46</v>
      </c>
      <c r="AI8" s="34" t="s">
        <v>45</v>
      </c>
      <c r="AJ8" s="34" t="s">
        <v>44</v>
      </c>
      <c r="AK8" s="34" t="s">
        <v>43</v>
      </c>
      <c r="AL8" s="34" t="s">
        <v>46</v>
      </c>
      <c r="AM8" s="34" t="s">
        <v>45</v>
      </c>
      <c r="AN8" s="34" t="s">
        <v>44</v>
      </c>
      <c r="AO8" s="34" t="s">
        <v>43</v>
      </c>
      <c r="AP8" s="34" t="s">
        <v>46</v>
      </c>
      <c r="AQ8" s="34" t="s">
        <v>45</v>
      </c>
      <c r="AR8" s="34" t="s">
        <v>44</v>
      </c>
      <c r="AS8" s="34" t="s">
        <v>43</v>
      </c>
      <c r="AT8" s="34" t="s">
        <v>46</v>
      </c>
      <c r="AU8" s="34" t="s">
        <v>45</v>
      </c>
      <c r="AV8" s="34" t="s">
        <v>44</v>
      </c>
      <c r="AW8" s="34" t="s">
        <v>43</v>
      </c>
      <c r="AX8" s="34" t="s">
        <v>46</v>
      </c>
      <c r="AY8" s="34" t="s">
        <v>45</v>
      </c>
      <c r="AZ8" s="34" t="s">
        <v>44</v>
      </c>
      <c r="BA8" s="34" t="s">
        <v>43</v>
      </c>
      <c r="BB8" s="34" t="s">
        <v>46</v>
      </c>
      <c r="BC8" s="34" t="s">
        <v>45</v>
      </c>
      <c r="BD8" s="34" t="s">
        <v>44</v>
      </c>
      <c r="BE8" s="34" t="s">
        <v>43</v>
      </c>
    </row>
    <row r="9" spans="1:57" x14ac:dyDescent="0.35">
      <c r="A9" s="36" t="s">
        <v>42</v>
      </c>
      <c r="B9" s="37">
        <v>11300</v>
      </c>
      <c r="C9" s="37">
        <v>85700</v>
      </c>
      <c r="D9" s="38">
        <v>13.2</v>
      </c>
      <c r="E9" s="38">
        <v>2.1</v>
      </c>
      <c r="F9" s="37">
        <v>20100</v>
      </c>
      <c r="G9" s="37">
        <v>197500</v>
      </c>
      <c r="H9" s="38">
        <v>10.199999999999999</v>
      </c>
      <c r="I9" s="38">
        <v>2</v>
      </c>
      <c r="J9" s="37">
        <v>6300</v>
      </c>
      <c r="K9" s="37">
        <v>55000</v>
      </c>
      <c r="L9" s="38">
        <v>11.5</v>
      </c>
      <c r="M9" s="38">
        <v>3</v>
      </c>
      <c r="N9" s="37">
        <v>8500</v>
      </c>
      <c r="O9" s="37">
        <v>41200</v>
      </c>
      <c r="P9" s="38">
        <v>20.7</v>
      </c>
      <c r="Q9" s="38">
        <v>3.6</v>
      </c>
      <c r="R9" s="37">
        <v>6100</v>
      </c>
      <c r="S9" s="37">
        <v>39100</v>
      </c>
      <c r="T9" s="38">
        <v>15.6</v>
      </c>
      <c r="U9" s="38">
        <v>3.2</v>
      </c>
      <c r="V9" s="37">
        <v>4600</v>
      </c>
      <c r="W9" s="37">
        <v>55400</v>
      </c>
      <c r="X9" s="38">
        <v>8.1999999999999993</v>
      </c>
      <c r="Y9" s="38">
        <v>2.5</v>
      </c>
      <c r="Z9" s="37">
        <v>11900</v>
      </c>
      <c r="AA9" s="37">
        <v>91300</v>
      </c>
      <c r="AB9" s="38">
        <v>13</v>
      </c>
      <c r="AC9" s="38">
        <v>2.2000000000000002</v>
      </c>
      <c r="AD9" s="37">
        <v>14000</v>
      </c>
      <c r="AE9" s="37">
        <v>134100</v>
      </c>
      <c r="AF9" s="38">
        <v>10.4</v>
      </c>
      <c r="AG9" s="38">
        <v>2.1</v>
      </c>
      <c r="AH9" s="37">
        <v>6900</v>
      </c>
      <c r="AI9" s="37">
        <v>54700</v>
      </c>
      <c r="AJ9" s="38">
        <v>12.6</v>
      </c>
      <c r="AK9" s="38">
        <v>3.1</v>
      </c>
      <c r="AL9" s="37">
        <v>10400</v>
      </c>
      <c r="AM9" s="37">
        <v>97800</v>
      </c>
      <c r="AN9" s="38">
        <v>10.6</v>
      </c>
      <c r="AO9" s="38">
        <v>2.2000000000000002</v>
      </c>
      <c r="AP9" s="37">
        <v>4300</v>
      </c>
      <c r="AQ9" s="37">
        <v>39700</v>
      </c>
      <c r="AR9" s="38">
        <v>10.7</v>
      </c>
      <c r="AS9" s="38">
        <v>3.1</v>
      </c>
      <c r="AT9" s="37">
        <v>29900</v>
      </c>
      <c r="AU9" s="37">
        <v>221700</v>
      </c>
      <c r="AV9" s="38">
        <v>13.5</v>
      </c>
      <c r="AW9" s="38">
        <v>1.6</v>
      </c>
      <c r="AX9" s="37">
        <v>3045400</v>
      </c>
      <c r="AY9" s="37">
        <v>23858900</v>
      </c>
      <c r="AZ9" s="38">
        <v>12.8</v>
      </c>
      <c r="BA9" s="38">
        <v>0.2</v>
      </c>
      <c r="BB9" s="37">
        <v>545300</v>
      </c>
      <c r="BC9" s="37">
        <v>3499300</v>
      </c>
      <c r="BD9" s="38">
        <v>15.6</v>
      </c>
      <c r="BE9" s="38">
        <v>0.6</v>
      </c>
    </row>
    <row r="10" spans="1:57" x14ac:dyDescent="0.35">
      <c r="A10" s="36" t="s">
        <v>41</v>
      </c>
      <c r="B10" s="37">
        <v>10800</v>
      </c>
      <c r="C10" s="37">
        <v>88800</v>
      </c>
      <c r="D10" s="38">
        <v>12.2</v>
      </c>
      <c r="E10" s="38">
        <v>2.2999999999999998</v>
      </c>
      <c r="F10" s="37">
        <v>24200</v>
      </c>
      <c r="G10" s="37">
        <v>204900</v>
      </c>
      <c r="H10" s="38">
        <v>11.8</v>
      </c>
      <c r="I10" s="38">
        <v>2.2000000000000002</v>
      </c>
      <c r="J10" s="37">
        <v>6900</v>
      </c>
      <c r="K10" s="37">
        <v>57300</v>
      </c>
      <c r="L10" s="38">
        <v>12.1</v>
      </c>
      <c r="M10" s="38">
        <v>3.2</v>
      </c>
      <c r="N10" s="37">
        <v>8200</v>
      </c>
      <c r="O10" s="37">
        <v>42600</v>
      </c>
      <c r="P10" s="38">
        <v>19.100000000000001</v>
      </c>
      <c r="Q10" s="38">
        <v>3.7</v>
      </c>
      <c r="R10" s="37">
        <v>6900</v>
      </c>
      <c r="S10" s="37">
        <v>38500</v>
      </c>
      <c r="T10" s="38">
        <v>17.899999999999999</v>
      </c>
      <c r="U10" s="38">
        <v>3.9</v>
      </c>
      <c r="V10" s="37">
        <v>6000</v>
      </c>
      <c r="W10" s="37">
        <v>55300</v>
      </c>
      <c r="X10" s="38">
        <v>10.8</v>
      </c>
      <c r="Y10" s="38">
        <v>3</v>
      </c>
      <c r="Z10" s="37">
        <v>11700</v>
      </c>
      <c r="AA10" s="37">
        <v>93300</v>
      </c>
      <c r="AB10" s="38">
        <v>12.5</v>
      </c>
      <c r="AC10" s="38">
        <v>2.2000000000000002</v>
      </c>
      <c r="AD10" s="37">
        <v>14900</v>
      </c>
      <c r="AE10" s="37">
        <v>137400</v>
      </c>
      <c r="AF10" s="38">
        <v>10.8</v>
      </c>
      <c r="AG10" s="38">
        <v>2.1</v>
      </c>
      <c r="AH10" s="37">
        <v>7100</v>
      </c>
      <c r="AI10" s="37">
        <v>54000</v>
      </c>
      <c r="AJ10" s="38">
        <v>13.1</v>
      </c>
      <c r="AK10" s="38">
        <v>3</v>
      </c>
      <c r="AL10" s="37">
        <v>12100</v>
      </c>
      <c r="AM10" s="37">
        <v>99000</v>
      </c>
      <c r="AN10" s="38">
        <v>12.2</v>
      </c>
      <c r="AO10" s="38">
        <v>2.4</v>
      </c>
      <c r="AP10" s="37">
        <v>5600</v>
      </c>
      <c r="AQ10" s="37">
        <v>40900</v>
      </c>
      <c r="AR10" s="38">
        <v>13.7</v>
      </c>
      <c r="AS10" s="38">
        <v>3.6</v>
      </c>
      <c r="AT10" s="37">
        <v>31900</v>
      </c>
      <c r="AU10" s="37">
        <v>224500</v>
      </c>
      <c r="AV10" s="38">
        <v>14.2</v>
      </c>
      <c r="AW10" s="38">
        <v>1.7</v>
      </c>
      <c r="AX10" s="37">
        <v>3153800</v>
      </c>
      <c r="AY10" s="37">
        <v>24143000</v>
      </c>
      <c r="AZ10" s="38">
        <v>13.1</v>
      </c>
      <c r="BA10" s="38">
        <v>0.2</v>
      </c>
      <c r="BB10" s="37">
        <v>568700</v>
      </c>
      <c r="BC10" s="37">
        <v>3543100</v>
      </c>
      <c r="BD10" s="38">
        <v>16.100000000000001</v>
      </c>
      <c r="BE10" s="38">
        <v>0.6</v>
      </c>
    </row>
    <row r="11" spans="1:57" x14ac:dyDescent="0.35">
      <c r="A11" s="36" t="s">
        <v>40</v>
      </c>
      <c r="B11" s="37">
        <v>11900</v>
      </c>
      <c r="C11" s="37">
        <v>82300</v>
      </c>
      <c r="D11" s="38">
        <v>14.4</v>
      </c>
      <c r="E11" s="38">
        <v>2.5</v>
      </c>
      <c r="F11" s="37">
        <v>19900</v>
      </c>
      <c r="G11" s="37">
        <v>210400</v>
      </c>
      <c r="H11" s="38">
        <v>9.5</v>
      </c>
      <c r="I11" s="38">
        <v>2.1</v>
      </c>
      <c r="J11" s="37">
        <v>5300</v>
      </c>
      <c r="K11" s="37">
        <v>56900</v>
      </c>
      <c r="L11" s="38">
        <v>9.3000000000000007</v>
      </c>
      <c r="M11" s="38">
        <v>4.2</v>
      </c>
      <c r="N11" s="37">
        <v>8100</v>
      </c>
      <c r="O11" s="37">
        <v>44800</v>
      </c>
      <c r="P11" s="38">
        <v>18.100000000000001</v>
      </c>
      <c r="Q11" s="38">
        <v>6.6</v>
      </c>
      <c r="R11" s="37">
        <v>7100</v>
      </c>
      <c r="S11" s="37">
        <v>39700</v>
      </c>
      <c r="T11" s="38">
        <v>17.8</v>
      </c>
      <c r="U11" s="38">
        <v>6.3</v>
      </c>
      <c r="V11" s="37">
        <v>5400</v>
      </c>
      <c r="W11" s="37">
        <v>59900</v>
      </c>
      <c r="X11" s="38">
        <v>9.1</v>
      </c>
      <c r="Y11" s="38">
        <v>4.4000000000000004</v>
      </c>
      <c r="Z11" s="37">
        <v>12200</v>
      </c>
      <c r="AA11" s="37">
        <v>99100</v>
      </c>
      <c r="AB11" s="38">
        <v>12.3</v>
      </c>
      <c r="AC11" s="38">
        <v>2.2000000000000002</v>
      </c>
      <c r="AD11" s="37">
        <v>14700</v>
      </c>
      <c r="AE11" s="37">
        <v>138100</v>
      </c>
      <c r="AF11" s="38">
        <v>10.6</v>
      </c>
      <c r="AG11" s="38">
        <v>2</v>
      </c>
      <c r="AH11" s="37">
        <v>8500</v>
      </c>
      <c r="AI11" s="37">
        <v>53100</v>
      </c>
      <c r="AJ11" s="38">
        <v>16</v>
      </c>
      <c r="AK11" s="38">
        <v>4.9000000000000004</v>
      </c>
      <c r="AL11" s="37">
        <v>12100</v>
      </c>
      <c r="AM11" s="37">
        <v>100400</v>
      </c>
      <c r="AN11" s="38">
        <v>12</v>
      </c>
      <c r="AO11" s="38">
        <v>2.2999999999999998</v>
      </c>
      <c r="AP11" s="37">
        <v>4100</v>
      </c>
      <c r="AQ11" s="37">
        <v>40300</v>
      </c>
      <c r="AR11" s="38">
        <v>10.199999999999999</v>
      </c>
      <c r="AS11" s="38">
        <v>5.6</v>
      </c>
      <c r="AT11" s="37">
        <v>31900</v>
      </c>
      <c r="AU11" s="37">
        <v>228400</v>
      </c>
      <c r="AV11" s="38">
        <v>13.9</v>
      </c>
      <c r="AW11" s="38">
        <v>2.5</v>
      </c>
      <c r="AX11" s="37">
        <v>3205000</v>
      </c>
      <c r="AY11" s="37">
        <v>24356500</v>
      </c>
      <c r="AZ11" s="38">
        <v>13.2</v>
      </c>
      <c r="BA11" s="38">
        <v>0.2</v>
      </c>
      <c r="BB11" s="37">
        <v>568100</v>
      </c>
      <c r="BC11" s="37">
        <v>3600500</v>
      </c>
      <c r="BD11" s="38">
        <v>15.8</v>
      </c>
      <c r="BE11" s="38">
        <v>0.6</v>
      </c>
    </row>
    <row r="12" spans="1:57" x14ac:dyDescent="0.35">
      <c r="A12" s="36" t="s">
        <v>39</v>
      </c>
      <c r="B12" s="37">
        <v>13700</v>
      </c>
      <c r="C12" s="37">
        <v>86100</v>
      </c>
      <c r="D12" s="38">
        <v>15.9</v>
      </c>
      <c r="E12" s="38">
        <v>2.5</v>
      </c>
      <c r="F12" s="37">
        <v>27400</v>
      </c>
      <c r="G12" s="37">
        <v>207900</v>
      </c>
      <c r="H12" s="38">
        <v>13.2</v>
      </c>
      <c r="I12" s="38">
        <v>2.2999999999999998</v>
      </c>
      <c r="J12" s="37">
        <v>4800</v>
      </c>
      <c r="K12" s="37">
        <v>60600</v>
      </c>
      <c r="L12" s="38">
        <v>7.9</v>
      </c>
      <c r="M12" s="38">
        <v>3.8</v>
      </c>
      <c r="N12" s="37">
        <v>10000</v>
      </c>
      <c r="O12" s="37">
        <v>44700</v>
      </c>
      <c r="P12" s="38">
        <v>22.3</v>
      </c>
      <c r="Q12" s="38">
        <v>7.8</v>
      </c>
      <c r="R12" s="37">
        <v>6500</v>
      </c>
      <c r="S12" s="37">
        <v>37600</v>
      </c>
      <c r="T12" s="38">
        <v>17.399999999999999</v>
      </c>
      <c r="U12" s="38">
        <v>6.8</v>
      </c>
      <c r="V12" s="37">
        <v>5100</v>
      </c>
      <c r="W12" s="37">
        <v>60600</v>
      </c>
      <c r="X12" s="38">
        <v>8.4</v>
      </c>
      <c r="Y12" s="38">
        <v>3.8</v>
      </c>
      <c r="Z12" s="37">
        <v>14200</v>
      </c>
      <c r="AA12" s="37">
        <v>101200</v>
      </c>
      <c r="AB12" s="38">
        <v>14</v>
      </c>
      <c r="AC12" s="38">
        <v>2.4</v>
      </c>
      <c r="AD12" s="37">
        <v>15300</v>
      </c>
      <c r="AE12" s="37">
        <v>137100</v>
      </c>
      <c r="AF12" s="38">
        <v>11.2</v>
      </c>
      <c r="AG12" s="38">
        <v>2.1</v>
      </c>
      <c r="AH12" s="37">
        <v>10800</v>
      </c>
      <c r="AI12" s="37">
        <v>57700</v>
      </c>
      <c r="AJ12" s="38">
        <v>18.600000000000001</v>
      </c>
      <c r="AK12" s="38">
        <v>5.4</v>
      </c>
      <c r="AL12" s="37">
        <v>10000</v>
      </c>
      <c r="AM12" s="37">
        <v>108600</v>
      </c>
      <c r="AN12" s="38">
        <v>9.1999999999999993</v>
      </c>
      <c r="AO12" s="38">
        <v>2</v>
      </c>
      <c r="AP12" s="37">
        <v>3900</v>
      </c>
      <c r="AQ12" s="37">
        <v>42500</v>
      </c>
      <c r="AR12" s="38">
        <v>9.3000000000000007</v>
      </c>
      <c r="AS12" s="38">
        <v>4.8</v>
      </c>
      <c r="AT12" s="37">
        <v>33900</v>
      </c>
      <c r="AU12" s="37">
        <v>224800</v>
      </c>
      <c r="AV12" s="38">
        <v>15.1</v>
      </c>
      <c r="AW12" s="38">
        <v>2.5</v>
      </c>
      <c r="AX12" s="37">
        <v>3269900</v>
      </c>
      <c r="AY12" s="37">
        <v>24602500</v>
      </c>
      <c r="AZ12" s="38">
        <v>13.3</v>
      </c>
      <c r="BA12" s="38">
        <v>0.2</v>
      </c>
      <c r="BB12" s="37">
        <v>584600</v>
      </c>
      <c r="BC12" s="37">
        <v>3679700</v>
      </c>
      <c r="BD12" s="38">
        <v>15.9</v>
      </c>
      <c r="BE12" s="38">
        <v>0.6</v>
      </c>
    </row>
    <row r="13" spans="1:57" x14ac:dyDescent="0.35">
      <c r="A13" s="36" t="s">
        <v>38</v>
      </c>
      <c r="B13" s="37">
        <v>12200</v>
      </c>
      <c r="C13" s="37">
        <v>88100</v>
      </c>
      <c r="D13" s="38">
        <v>13.8</v>
      </c>
      <c r="E13" s="38">
        <v>2.4</v>
      </c>
      <c r="F13" s="37">
        <v>26600</v>
      </c>
      <c r="G13" s="37">
        <v>209800</v>
      </c>
      <c r="H13" s="38">
        <v>12.7</v>
      </c>
      <c r="I13" s="38">
        <v>2.2999999999999998</v>
      </c>
      <c r="J13" s="37">
        <v>5300</v>
      </c>
      <c r="K13" s="37">
        <v>57900</v>
      </c>
      <c r="L13" s="38">
        <v>9.1999999999999993</v>
      </c>
      <c r="M13" s="38">
        <v>4.5</v>
      </c>
      <c r="N13" s="37">
        <v>6800</v>
      </c>
      <c r="O13" s="37">
        <v>44000</v>
      </c>
      <c r="P13" s="38">
        <v>15.6</v>
      </c>
      <c r="Q13" s="38">
        <v>6.6</v>
      </c>
      <c r="R13" s="37">
        <v>5400</v>
      </c>
      <c r="S13" s="37">
        <v>36800</v>
      </c>
      <c r="T13" s="38">
        <v>14.5</v>
      </c>
      <c r="U13" s="38">
        <v>6.7</v>
      </c>
      <c r="V13" s="37">
        <v>6600</v>
      </c>
      <c r="W13" s="37">
        <v>58700</v>
      </c>
      <c r="X13" s="38">
        <v>11.3</v>
      </c>
      <c r="Y13" s="38">
        <v>4.9000000000000004</v>
      </c>
      <c r="Z13" s="37">
        <v>12500</v>
      </c>
      <c r="AA13" s="37">
        <v>101000</v>
      </c>
      <c r="AB13" s="38">
        <v>12.4</v>
      </c>
      <c r="AC13" s="38">
        <v>2.2000000000000002</v>
      </c>
      <c r="AD13" s="37">
        <v>15100</v>
      </c>
      <c r="AE13" s="37">
        <v>139300</v>
      </c>
      <c r="AF13" s="38">
        <v>10.8</v>
      </c>
      <c r="AG13" s="38">
        <v>2</v>
      </c>
      <c r="AH13" s="37">
        <v>14300</v>
      </c>
      <c r="AI13" s="37">
        <v>59400</v>
      </c>
      <c r="AJ13" s="38">
        <v>24.1</v>
      </c>
      <c r="AK13" s="38">
        <v>6.2</v>
      </c>
      <c r="AL13" s="37">
        <v>8400</v>
      </c>
      <c r="AM13" s="37">
        <v>105600</v>
      </c>
      <c r="AN13" s="38">
        <v>7.9</v>
      </c>
      <c r="AO13" s="38">
        <v>1.9</v>
      </c>
      <c r="AP13" s="37">
        <v>4900</v>
      </c>
      <c r="AQ13" s="37">
        <v>42700</v>
      </c>
      <c r="AR13" s="38">
        <v>11.6</v>
      </c>
      <c r="AS13" s="38">
        <v>5.5</v>
      </c>
      <c r="AT13" s="37">
        <v>36900</v>
      </c>
      <c r="AU13" s="37">
        <v>229300</v>
      </c>
      <c r="AV13" s="38">
        <v>16.100000000000001</v>
      </c>
      <c r="AW13" s="38">
        <v>2.6</v>
      </c>
      <c r="AX13" s="37">
        <v>3236700</v>
      </c>
      <c r="AY13" s="37">
        <v>24746700</v>
      </c>
      <c r="AZ13" s="38">
        <v>13.1</v>
      </c>
      <c r="BA13" s="38">
        <v>0.2</v>
      </c>
      <c r="BB13" s="37">
        <v>571000</v>
      </c>
      <c r="BC13" s="37">
        <v>3773400</v>
      </c>
      <c r="BD13" s="38">
        <v>15.1</v>
      </c>
      <c r="BE13" s="38">
        <v>0.6</v>
      </c>
    </row>
    <row r="14" spans="1:57" x14ac:dyDescent="0.35">
      <c r="A14" s="36" t="s">
        <v>37</v>
      </c>
      <c r="B14" s="37">
        <v>12300</v>
      </c>
      <c r="C14" s="37">
        <v>84400</v>
      </c>
      <c r="D14" s="38">
        <v>14.6</v>
      </c>
      <c r="E14" s="38">
        <v>2.6</v>
      </c>
      <c r="F14" s="37">
        <v>27300</v>
      </c>
      <c r="G14" s="37">
        <v>210500</v>
      </c>
      <c r="H14" s="38">
        <v>13</v>
      </c>
      <c r="I14" s="38">
        <v>2.2999999999999998</v>
      </c>
      <c r="J14" s="37">
        <v>7300</v>
      </c>
      <c r="K14" s="37">
        <v>63700</v>
      </c>
      <c r="L14" s="38">
        <v>11.5</v>
      </c>
      <c r="M14" s="38">
        <v>4.9000000000000004</v>
      </c>
      <c r="N14" s="37">
        <v>7900</v>
      </c>
      <c r="O14" s="37">
        <v>42800</v>
      </c>
      <c r="P14" s="38">
        <v>18.3</v>
      </c>
      <c r="Q14" s="38">
        <v>6.9</v>
      </c>
      <c r="R14" s="37">
        <v>6400</v>
      </c>
      <c r="S14" s="37">
        <v>34600</v>
      </c>
      <c r="T14" s="38">
        <v>18.399999999999999</v>
      </c>
      <c r="U14" s="38">
        <v>7.5</v>
      </c>
      <c r="V14" s="37">
        <v>8400</v>
      </c>
      <c r="W14" s="37">
        <v>61200</v>
      </c>
      <c r="X14" s="38">
        <v>13.7</v>
      </c>
      <c r="Y14" s="38">
        <v>5.3</v>
      </c>
      <c r="Z14" s="37">
        <v>12800</v>
      </c>
      <c r="AA14" s="37">
        <v>96500</v>
      </c>
      <c r="AB14" s="38">
        <v>13.2</v>
      </c>
      <c r="AC14" s="38">
        <v>2.4</v>
      </c>
      <c r="AD14" s="37">
        <v>14100</v>
      </c>
      <c r="AE14" s="37">
        <v>135100</v>
      </c>
      <c r="AF14" s="38">
        <v>10.4</v>
      </c>
      <c r="AG14" s="38">
        <v>2.1</v>
      </c>
      <c r="AH14" s="37">
        <v>14200</v>
      </c>
      <c r="AI14" s="37">
        <v>55800</v>
      </c>
      <c r="AJ14" s="38">
        <v>25.4</v>
      </c>
      <c r="AK14" s="38">
        <v>6.2</v>
      </c>
      <c r="AL14" s="37">
        <v>8300</v>
      </c>
      <c r="AM14" s="37">
        <v>106300</v>
      </c>
      <c r="AN14" s="38">
        <v>7.8</v>
      </c>
      <c r="AO14" s="38">
        <v>1.9</v>
      </c>
      <c r="AP14" s="37">
        <v>4800</v>
      </c>
      <c r="AQ14" s="37">
        <v>36300</v>
      </c>
      <c r="AR14" s="38">
        <v>13.3</v>
      </c>
      <c r="AS14" s="38">
        <v>6.8</v>
      </c>
      <c r="AT14" s="37">
        <v>34300</v>
      </c>
      <c r="AU14" s="37">
        <v>238100</v>
      </c>
      <c r="AV14" s="38">
        <v>14.4</v>
      </c>
      <c r="AW14" s="38">
        <v>2.5</v>
      </c>
      <c r="AX14" s="37">
        <v>3286300</v>
      </c>
      <c r="AY14" s="37">
        <v>24412700</v>
      </c>
      <c r="AZ14" s="38">
        <v>13.5</v>
      </c>
      <c r="BA14" s="38">
        <v>0.2</v>
      </c>
      <c r="BB14" s="37">
        <v>599600</v>
      </c>
      <c r="BC14" s="37">
        <v>3779900</v>
      </c>
      <c r="BD14" s="38">
        <v>15.9</v>
      </c>
      <c r="BE14" s="38">
        <v>0.7</v>
      </c>
    </row>
    <row r="15" spans="1:57" x14ac:dyDescent="0.35">
      <c r="A15" s="36" t="s">
        <v>36</v>
      </c>
      <c r="B15" s="37">
        <v>13800</v>
      </c>
      <c r="C15" s="37">
        <v>83500</v>
      </c>
      <c r="D15" s="38">
        <v>16.5</v>
      </c>
      <c r="E15" s="38">
        <v>2.8</v>
      </c>
      <c r="F15" s="37">
        <v>19500</v>
      </c>
      <c r="G15" s="37">
        <v>217200</v>
      </c>
      <c r="H15" s="38">
        <v>9</v>
      </c>
      <c r="I15" s="38">
        <v>2</v>
      </c>
      <c r="J15" s="37">
        <v>5800</v>
      </c>
      <c r="K15" s="37">
        <v>56900</v>
      </c>
      <c r="L15" s="38">
        <v>10.1</v>
      </c>
      <c r="M15" s="38">
        <v>4.8</v>
      </c>
      <c r="N15" s="37">
        <v>6200</v>
      </c>
      <c r="O15" s="37">
        <v>39000</v>
      </c>
      <c r="P15" s="38">
        <v>15.8</v>
      </c>
      <c r="Q15" s="38">
        <v>6.9</v>
      </c>
      <c r="R15" s="37">
        <v>5800</v>
      </c>
      <c r="S15" s="37">
        <v>38400</v>
      </c>
      <c r="T15" s="38">
        <v>15.1</v>
      </c>
      <c r="U15" s="38">
        <v>6.3</v>
      </c>
      <c r="V15" s="37">
        <v>7100</v>
      </c>
      <c r="W15" s="37">
        <v>61700</v>
      </c>
      <c r="X15" s="38">
        <v>11.6</v>
      </c>
      <c r="Y15" s="38">
        <v>5</v>
      </c>
      <c r="Z15" s="37">
        <v>15100</v>
      </c>
      <c r="AA15" s="37">
        <v>98300</v>
      </c>
      <c r="AB15" s="38">
        <v>15.4</v>
      </c>
      <c r="AC15" s="38">
        <v>2.6</v>
      </c>
      <c r="AD15" s="37">
        <v>13100</v>
      </c>
      <c r="AE15" s="37">
        <v>135100</v>
      </c>
      <c r="AF15" s="38">
        <v>9.6999999999999993</v>
      </c>
      <c r="AG15" s="38">
        <v>2.1</v>
      </c>
      <c r="AH15" s="37">
        <v>14200</v>
      </c>
      <c r="AI15" s="37">
        <v>57400</v>
      </c>
      <c r="AJ15" s="38">
        <v>24.8</v>
      </c>
      <c r="AK15" s="38">
        <v>6.4</v>
      </c>
      <c r="AL15" s="37">
        <v>10900</v>
      </c>
      <c r="AM15" s="37">
        <v>105500</v>
      </c>
      <c r="AN15" s="38">
        <v>10.4</v>
      </c>
      <c r="AO15" s="38">
        <v>2.4</v>
      </c>
      <c r="AP15" s="37">
        <v>5100</v>
      </c>
      <c r="AQ15" s="37">
        <v>41600</v>
      </c>
      <c r="AR15" s="38">
        <v>12.2</v>
      </c>
      <c r="AS15" s="38">
        <v>6.4</v>
      </c>
      <c r="AT15" s="37">
        <v>32500</v>
      </c>
      <c r="AU15" s="37">
        <v>230200</v>
      </c>
      <c r="AV15" s="38">
        <v>14.1</v>
      </c>
      <c r="AW15" s="38">
        <v>2.5</v>
      </c>
      <c r="AX15" s="37">
        <v>3382400</v>
      </c>
      <c r="AY15" s="37">
        <v>24471200</v>
      </c>
      <c r="AZ15" s="38">
        <v>13.8</v>
      </c>
      <c r="BA15" s="38">
        <v>0.2</v>
      </c>
      <c r="BB15" s="37">
        <v>611400</v>
      </c>
      <c r="BC15" s="37">
        <v>3802700</v>
      </c>
      <c r="BD15" s="38">
        <v>16.100000000000001</v>
      </c>
      <c r="BE15" s="38">
        <v>0.7</v>
      </c>
    </row>
    <row r="16" spans="1:57" x14ac:dyDescent="0.35">
      <c r="A16" s="36" t="s">
        <v>35</v>
      </c>
      <c r="B16" s="37">
        <v>13500</v>
      </c>
      <c r="C16" s="37">
        <v>80600</v>
      </c>
      <c r="D16" s="38">
        <v>16.8</v>
      </c>
      <c r="E16" s="38">
        <v>3</v>
      </c>
      <c r="F16" s="37">
        <v>28100</v>
      </c>
      <c r="G16" s="37">
        <v>210900</v>
      </c>
      <c r="H16" s="38">
        <v>13.3</v>
      </c>
      <c r="I16" s="38">
        <v>2.5</v>
      </c>
      <c r="J16" s="37">
        <v>11100</v>
      </c>
      <c r="K16" s="37">
        <v>58500</v>
      </c>
      <c r="L16" s="38">
        <v>19.100000000000001</v>
      </c>
      <c r="M16" s="38">
        <v>6.9</v>
      </c>
      <c r="N16" s="37">
        <v>8300</v>
      </c>
      <c r="O16" s="37">
        <v>40300</v>
      </c>
      <c r="P16" s="38">
        <v>20.6</v>
      </c>
      <c r="Q16" s="38">
        <v>8</v>
      </c>
      <c r="R16" s="37">
        <v>8900</v>
      </c>
      <c r="S16" s="37">
        <v>43300</v>
      </c>
      <c r="T16" s="38">
        <v>20.399999999999999</v>
      </c>
      <c r="U16" s="38">
        <v>7.4</v>
      </c>
      <c r="V16" s="37">
        <v>3200</v>
      </c>
      <c r="W16" s="37">
        <v>60200</v>
      </c>
      <c r="X16" s="38">
        <v>5.3</v>
      </c>
      <c r="Y16" s="37" t="s">
        <v>21</v>
      </c>
      <c r="Z16" s="37">
        <v>15500</v>
      </c>
      <c r="AA16" s="37">
        <v>96700</v>
      </c>
      <c r="AB16" s="38">
        <v>16.100000000000001</v>
      </c>
      <c r="AC16" s="38">
        <v>2.8</v>
      </c>
      <c r="AD16" s="37">
        <v>13300</v>
      </c>
      <c r="AE16" s="37">
        <v>131700</v>
      </c>
      <c r="AF16" s="38">
        <v>10.1</v>
      </c>
      <c r="AG16" s="38">
        <v>2.2999999999999998</v>
      </c>
      <c r="AH16" s="37">
        <v>12400</v>
      </c>
      <c r="AI16" s="37">
        <v>59600</v>
      </c>
      <c r="AJ16" s="38">
        <v>20.7</v>
      </c>
      <c r="AK16" s="38">
        <v>6.3</v>
      </c>
      <c r="AL16" s="37">
        <v>11000</v>
      </c>
      <c r="AM16" s="37">
        <v>102600</v>
      </c>
      <c r="AN16" s="38">
        <v>10.7</v>
      </c>
      <c r="AO16" s="38">
        <v>2.2000000000000002</v>
      </c>
      <c r="AP16" s="37">
        <v>5100</v>
      </c>
      <c r="AQ16" s="37">
        <v>40300</v>
      </c>
      <c r="AR16" s="38">
        <v>12.6</v>
      </c>
      <c r="AS16" s="38">
        <v>6.5</v>
      </c>
      <c r="AT16" s="37">
        <v>36000</v>
      </c>
      <c r="AU16" s="37">
        <v>226800</v>
      </c>
      <c r="AV16" s="38">
        <v>15.9</v>
      </c>
      <c r="AW16" s="38">
        <v>2.8</v>
      </c>
      <c r="AX16" s="37">
        <v>3481200</v>
      </c>
      <c r="AY16" s="37">
        <v>24572000</v>
      </c>
      <c r="AZ16" s="38">
        <v>14.2</v>
      </c>
      <c r="BA16" s="38">
        <v>0.2</v>
      </c>
      <c r="BB16" s="37">
        <v>644100</v>
      </c>
      <c r="BC16" s="37">
        <v>3878900</v>
      </c>
      <c r="BD16" s="38">
        <v>16.600000000000001</v>
      </c>
      <c r="BE16" s="38">
        <v>0.7</v>
      </c>
    </row>
    <row r="17" spans="1:57" x14ac:dyDescent="0.35">
      <c r="A17" s="36" t="s">
        <v>34</v>
      </c>
      <c r="B17" s="37">
        <v>15100</v>
      </c>
      <c r="C17" s="37">
        <v>86000</v>
      </c>
      <c r="D17" s="38">
        <v>17.5</v>
      </c>
      <c r="E17" s="38">
        <v>2.7</v>
      </c>
      <c r="F17" s="37">
        <v>27700</v>
      </c>
      <c r="G17" s="37">
        <v>211500</v>
      </c>
      <c r="H17" s="38">
        <v>13.1</v>
      </c>
      <c r="I17" s="38">
        <v>2.7</v>
      </c>
      <c r="J17" s="37">
        <v>8300</v>
      </c>
      <c r="K17" s="37">
        <v>56200</v>
      </c>
      <c r="L17" s="38">
        <v>14.9</v>
      </c>
      <c r="M17" s="38">
        <v>5.7</v>
      </c>
      <c r="N17" s="37">
        <v>9400</v>
      </c>
      <c r="O17" s="37">
        <v>37700</v>
      </c>
      <c r="P17" s="38">
        <v>24.9</v>
      </c>
      <c r="Q17" s="38">
        <v>8.8000000000000007</v>
      </c>
      <c r="R17" s="37">
        <v>7600</v>
      </c>
      <c r="S17" s="37">
        <v>39300</v>
      </c>
      <c r="T17" s="38">
        <v>19.3</v>
      </c>
      <c r="U17" s="38">
        <v>7.3</v>
      </c>
      <c r="V17" s="37">
        <v>4000</v>
      </c>
      <c r="W17" s="37">
        <v>62600</v>
      </c>
      <c r="X17" s="38">
        <v>6.4</v>
      </c>
      <c r="Y17" s="38">
        <v>3.8</v>
      </c>
      <c r="Z17" s="37">
        <v>12900</v>
      </c>
      <c r="AA17" s="37">
        <v>91600</v>
      </c>
      <c r="AB17" s="38">
        <v>14.1</v>
      </c>
      <c r="AC17" s="38">
        <v>2.7</v>
      </c>
      <c r="AD17" s="37">
        <v>14400</v>
      </c>
      <c r="AE17" s="37">
        <v>136000</v>
      </c>
      <c r="AF17" s="38">
        <v>10.6</v>
      </c>
      <c r="AG17" s="38">
        <v>2.2999999999999998</v>
      </c>
      <c r="AH17" s="37">
        <v>14200</v>
      </c>
      <c r="AI17" s="37">
        <v>62800</v>
      </c>
      <c r="AJ17" s="38">
        <v>22.6</v>
      </c>
      <c r="AK17" s="38">
        <v>6.2</v>
      </c>
      <c r="AL17" s="37">
        <v>12300</v>
      </c>
      <c r="AM17" s="37">
        <v>103400</v>
      </c>
      <c r="AN17" s="38">
        <v>11.9</v>
      </c>
      <c r="AO17" s="38">
        <v>2.5</v>
      </c>
      <c r="AP17" s="37">
        <v>5300</v>
      </c>
      <c r="AQ17" s="37">
        <v>42100</v>
      </c>
      <c r="AR17" s="38">
        <v>12.5</v>
      </c>
      <c r="AS17" s="38">
        <v>5.6</v>
      </c>
      <c r="AT17" s="37">
        <v>32400</v>
      </c>
      <c r="AU17" s="37">
        <v>223700</v>
      </c>
      <c r="AV17" s="38">
        <v>14.5</v>
      </c>
      <c r="AW17" s="38">
        <v>2.5</v>
      </c>
      <c r="AX17" s="37">
        <v>3621800</v>
      </c>
      <c r="AY17" s="37">
        <v>24848200</v>
      </c>
      <c r="AZ17" s="38">
        <v>14.6</v>
      </c>
      <c r="BA17" s="38">
        <v>0.2</v>
      </c>
      <c r="BB17" s="37">
        <v>707700</v>
      </c>
      <c r="BC17" s="37">
        <v>3969300</v>
      </c>
      <c r="BD17" s="38">
        <v>17.8</v>
      </c>
      <c r="BE17" s="38">
        <v>0.7</v>
      </c>
    </row>
    <row r="18" spans="1:57" x14ac:dyDescent="0.35">
      <c r="A18" s="36" t="s">
        <v>33</v>
      </c>
      <c r="B18" s="37">
        <v>16300</v>
      </c>
      <c r="C18" s="37">
        <v>86500</v>
      </c>
      <c r="D18" s="38">
        <v>18.8</v>
      </c>
      <c r="E18" s="38">
        <v>2.6</v>
      </c>
      <c r="F18" s="37">
        <v>30700</v>
      </c>
      <c r="G18" s="37">
        <v>211500</v>
      </c>
      <c r="H18" s="38">
        <v>14.5</v>
      </c>
      <c r="I18" s="38">
        <v>2.7</v>
      </c>
      <c r="J18" s="37">
        <v>5300</v>
      </c>
      <c r="K18" s="37">
        <v>59000</v>
      </c>
      <c r="L18" s="38">
        <v>8.9</v>
      </c>
      <c r="M18" s="38">
        <v>4.5999999999999996</v>
      </c>
      <c r="N18" s="37">
        <v>10800</v>
      </c>
      <c r="O18" s="37">
        <v>43200</v>
      </c>
      <c r="P18" s="38">
        <v>25.1</v>
      </c>
      <c r="Q18" s="38">
        <v>7.6</v>
      </c>
      <c r="R18" s="37">
        <v>6400</v>
      </c>
      <c r="S18" s="37">
        <v>37200</v>
      </c>
      <c r="T18" s="38">
        <v>17.3</v>
      </c>
      <c r="U18" s="38">
        <v>7.1</v>
      </c>
      <c r="V18" s="37">
        <v>3700</v>
      </c>
      <c r="W18" s="37">
        <v>62300</v>
      </c>
      <c r="X18" s="38">
        <v>6</v>
      </c>
      <c r="Y18" s="37" t="s">
        <v>21</v>
      </c>
      <c r="Z18" s="37">
        <v>10400</v>
      </c>
      <c r="AA18" s="37">
        <v>95300</v>
      </c>
      <c r="AB18" s="38">
        <v>11</v>
      </c>
      <c r="AC18" s="38">
        <v>2.4</v>
      </c>
      <c r="AD18" s="37">
        <v>14300</v>
      </c>
      <c r="AE18" s="37">
        <v>135900</v>
      </c>
      <c r="AF18" s="38">
        <v>10.5</v>
      </c>
      <c r="AG18" s="38">
        <v>2.2999999999999998</v>
      </c>
      <c r="AH18" s="37">
        <v>13100</v>
      </c>
      <c r="AI18" s="37">
        <v>58800</v>
      </c>
      <c r="AJ18" s="38">
        <v>22.2</v>
      </c>
      <c r="AK18" s="38">
        <v>6.5</v>
      </c>
      <c r="AL18" s="37">
        <v>13900</v>
      </c>
      <c r="AM18" s="37">
        <v>107600</v>
      </c>
      <c r="AN18" s="38">
        <v>13</v>
      </c>
      <c r="AO18" s="38">
        <v>2.6</v>
      </c>
      <c r="AP18" s="37">
        <v>5100</v>
      </c>
      <c r="AQ18" s="37">
        <v>40200</v>
      </c>
      <c r="AR18" s="38">
        <v>12.8</v>
      </c>
      <c r="AS18" s="38">
        <v>6.2</v>
      </c>
      <c r="AT18" s="37">
        <v>40300</v>
      </c>
      <c r="AU18" s="37">
        <v>227200</v>
      </c>
      <c r="AV18" s="38">
        <v>17.7</v>
      </c>
      <c r="AW18" s="38">
        <v>2.6</v>
      </c>
      <c r="AX18" s="37">
        <v>3708700</v>
      </c>
      <c r="AY18" s="37">
        <v>25212200</v>
      </c>
      <c r="AZ18" s="38">
        <v>14.7</v>
      </c>
      <c r="BA18" s="38">
        <v>0.2</v>
      </c>
      <c r="BB18" s="37">
        <v>702000</v>
      </c>
      <c r="BC18" s="37">
        <v>4080900</v>
      </c>
      <c r="BD18" s="38">
        <v>17.2</v>
      </c>
      <c r="BE18" s="38">
        <v>0.7</v>
      </c>
    </row>
    <row r="19" spans="1:57" x14ac:dyDescent="0.35">
      <c r="A19" s="36" t="s">
        <v>32</v>
      </c>
      <c r="B19" s="37">
        <v>18200</v>
      </c>
      <c r="C19" s="37">
        <v>87700</v>
      </c>
      <c r="D19" s="38">
        <v>20.8</v>
      </c>
      <c r="E19" s="38">
        <v>2.6</v>
      </c>
      <c r="F19" s="37">
        <v>35600</v>
      </c>
      <c r="G19" s="37">
        <v>220400</v>
      </c>
      <c r="H19" s="38">
        <v>16.2</v>
      </c>
      <c r="I19" s="38">
        <v>2.8</v>
      </c>
      <c r="J19" s="37">
        <v>6000</v>
      </c>
      <c r="K19" s="37">
        <v>58600</v>
      </c>
      <c r="L19" s="38">
        <v>10.3</v>
      </c>
      <c r="M19" s="38">
        <v>5</v>
      </c>
      <c r="N19" s="37">
        <v>12500</v>
      </c>
      <c r="O19" s="37">
        <v>44200</v>
      </c>
      <c r="P19" s="38">
        <v>28.1</v>
      </c>
      <c r="Q19" s="38">
        <v>8</v>
      </c>
      <c r="R19" s="37">
        <v>7700</v>
      </c>
      <c r="S19" s="37">
        <v>41800</v>
      </c>
      <c r="T19" s="38">
        <v>18.399999999999999</v>
      </c>
      <c r="U19" s="38">
        <v>7.3</v>
      </c>
      <c r="V19" s="37">
        <v>6000</v>
      </c>
      <c r="W19" s="37">
        <v>59100</v>
      </c>
      <c r="X19" s="38">
        <v>10.199999999999999</v>
      </c>
      <c r="Y19" s="38">
        <v>5</v>
      </c>
      <c r="Z19" s="37">
        <v>10000</v>
      </c>
      <c r="AA19" s="37">
        <v>94600</v>
      </c>
      <c r="AB19" s="38">
        <v>10.5</v>
      </c>
      <c r="AC19" s="38">
        <v>2.4</v>
      </c>
      <c r="AD19" s="37">
        <v>14900</v>
      </c>
      <c r="AE19" s="37">
        <v>143000</v>
      </c>
      <c r="AF19" s="38">
        <v>10.4</v>
      </c>
      <c r="AG19" s="38">
        <v>2.2999999999999998</v>
      </c>
      <c r="AH19" s="37">
        <v>16000</v>
      </c>
      <c r="AI19" s="37">
        <v>61500</v>
      </c>
      <c r="AJ19" s="38">
        <v>26</v>
      </c>
      <c r="AK19" s="38">
        <v>6.9</v>
      </c>
      <c r="AL19" s="37">
        <v>13300</v>
      </c>
      <c r="AM19" s="37">
        <v>111900</v>
      </c>
      <c r="AN19" s="38">
        <v>11.8</v>
      </c>
      <c r="AO19" s="38">
        <v>2.2000000000000002</v>
      </c>
      <c r="AP19" s="37">
        <v>5400</v>
      </c>
      <c r="AQ19" s="37">
        <v>43600</v>
      </c>
      <c r="AR19" s="38">
        <v>12.5</v>
      </c>
      <c r="AS19" s="38">
        <v>5.6</v>
      </c>
      <c r="AT19" s="37">
        <v>38800</v>
      </c>
      <c r="AU19" s="37">
        <v>237500</v>
      </c>
      <c r="AV19" s="38">
        <v>16.3</v>
      </c>
      <c r="AW19" s="38">
        <v>2.4</v>
      </c>
      <c r="AX19" s="37">
        <v>3881800</v>
      </c>
      <c r="AY19" s="37">
        <v>25728800</v>
      </c>
      <c r="AZ19" s="38">
        <v>15.1</v>
      </c>
      <c r="BA19" s="38">
        <v>0.2</v>
      </c>
      <c r="BB19" s="37">
        <v>791800</v>
      </c>
      <c r="BC19" s="37">
        <v>4243200</v>
      </c>
      <c r="BD19" s="38">
        <v>18.7</v>
      </c>
      <c r="BE19" s="38">
        <v>0.7</v>
      </c>
    </row>
    <row r="20" spans="1:57" x14ac:dyDescent="0.35">
      <c r="A20" s="36" t="s">
        <v>31</v>
      </c>
      <c r="B20" s="37">
        <v>16500</v>
      </c>
      <c r="C20" s="37">
        <v>93000</v>
      </c>
      <c r="D20" s="38">
        <v>17.8</v>
      </c>
      <c r="E20" s="38">
        <v>2.4</v>
      </c>
      <c r="F20" s="37">
        <v>32000</v>
      </c>
      <c r="G20" s="37">
        <v>239600</v>
      </c>
      <c r="H20" s="38">
        <v>13.4</v>
      </c>
      <c r="I20" s="38">
        <v>2.5</v>
      </c>
      <c r="J20" s="37">
        <v>9100</v>
      </c>
      <c r="K20" s="37">
        <v>55500</v>
      </c>
      <c r="L20" s="38">
        <v>16.5</v>
      </c>
      <c r="M20" s="38">
        <v>6</v>
      </c>
      <c r="N20" s="37">
        <v>12900</v>
      </c>
      <c r="O20" s="37">
        <v>43600</v>
      </c>
      <c r="P20" s="38">
        <v>29.5</v>
      </c>
      <c r="Q20" s="38">
        <v>8.6</v>
      </c>
      <c r="R20" s="37">
        <v>8000</v>
      </c>
      <c r="S20" s="37">
        <v>42700</v>
      </c>
      <c r="T20" s="38">
        <v>18.8</v>
      </c>
      <c r="U20" s="38">
        <v>6.8</v>
      </c>
      <c r="V20" s="37">
        <v>4800</v>
      </c>
      <c r="W20" s="37">
        <v>63200</v>
      </c>
      <c r="X20" s="38">
        <v>7.6</v>
      </c>
      <c r="Y20" s="38">
        <v>4</v>
      </c>
      <c r="Z20" s="37">
        <v>13600</v>
      </c>
      <c r="AA20" s="37">
        <v>99900</v>
      </c>
      <c r="AB20" s="38">
        <v>13.6</v>
      </c>
      <c r="AC20" s="38">
        <v>2.7</v>
      </c>
      <c r="AD20" s="37">
        <v>17400</v>
      </c>
      <c r="AE20" s="37">
        <v>141000</v>
      </c>
      <c r="AF20" s="38">
        <v>12.4</v>
      </c>
      <c r="AG20" s="38">
        <v>2.4</v>
      </c>
      <c r="AH20" s="37">
        <v>13400</v>
      </c>
      <c r="AI20" s="37">
        <v>63000</v>
      </c>
      <c r="AJ20" s="38">
        <v>21.3</v>
      </c>
      <c r="AK20" s="38">
        <v>6.2</v>
      </c>
      <c r="AL20" s="37">
        <v>13000</v>
      </c>
      <c r="AM20" s="37">
        <v>111400</v>
      </c>
      <c r="AN20" s="38">
        <v>11.7</v>
      </c>
      <c r="AO20" s="38">
        <v>2.2000000000000002</v>
      </c>
      <c r="AP20" s="37">
        <v>5900</v>
      </c>
      <c r="AQ20" s="37">
        <v>44300</v>
      </c>
      <c r="AR20" s="38">
        <v>13.4</v>
      </c>
      <c r="AS20" s="38">
        <v>6.1</v>
      </c>
      <c r="AT20" s="37">
        <v>39500</v>
      </c>
      <c r="AU20" s="37">
        <v>243600</v>
      </c>
      <c r="AV20" s="38">
        <v>16.2</v>
      </c>
      <c r="AW20" s="38">
        <v>2.2999999999999998</v>
      </c>
      <c r="AX20" s="37">
        <v>3990600</v>
      </c>
      <c r="AY20" s="37">
        <v>26358400</v>
      </c>
      <c r="AZ20" s="38">
        <v>15.1</v>
      </c>
      <c r="BA20" s="38">
        <v>0.2</v>
      </c>
      <c r="BB20" s="37">
        <v>799100</v>
      </c>
      <c r="BC20" s="37">
        <v>4400600</v>
      </c>
      <c r="BD20" s="38">
        <v>18.2</v>
      </c>
      <c r="BE20" s="38">
        <v>0.7</v>
      </c>
    </row>
    <row r="21" spans="1:57" x14ac:dyDescent="0.35">
      <c r="A21" s="36" t="s">
        <v>30</v>
      </c>
      <c r="B21" s="37">
        <v>17200</v>
      </c>
      <c r="C21" s="37">
        <v>95200</v>
      </c>
      <c r="D21" s="38">
        <v>18.100000000000001</v>
      </c>
      <c r="E21" s="38">
        <v>2.5</v>
      </c>
      <c r="F21" s="37">
        <v>39100</v>
      </c>
      <c r="G21" s="37">
        <v>239300</v>
      </c>
      <c r="H21" s="38">
        <v>16.3</v>
      </c>
      <c r="I21" s="38">
        <v>2.8</v>
      </c>
      <c r="J21" s="37">
        <v>6500</v>
      </c>
      <c r="K21" s="37">
        <v>57500</v>
      </c>
      <c r="L21" s="38">
        <v>11.4</v>
      </c>
      <c r="M21" s="38">
        <v>5</v>
      </c>
      <c r="N21" s="37">
        <v>12200</v>
      </c>
      <c r="O21" s="37">
        <v>45900</v>
      </c>
      <c r="P21" s="38">
        <v>26.5</v>
      </c>
      <c r="Q21" s="38">
        <v>9.3000000000000007</v>
      </c>
      <c r="R21" s="37">
        <v>7300</v>
      </c>
      <c r="S21" s="37">
        <v>39500</v>
      </c>
      <c r="T21" s="38">
        <v>18.5</v>
      </c>
      <c r="U21" s="38">
        <v>6.7</v>
      </c>
      <c r="V21" s="37">
        <v>2500</v>
      </c>
      <c r="W21" s="37">
        <v>67800</v>
      </c>
      <c r="X21" s="38">
        <v>3.7</v>
      </c>
      <c r="Y21" s="37" t="s">
        <v>21</v>
      </c>
      <c r="Z21" s="37">
        <v>17800</v>
      </c>
      <c r="AA21" s="37">
        <v>104000</v>
      </c>
      <c r="AB21" s="38">
        <v>17.100000000000001</v>
      </c>
      <c r="AC21" s="38">
        <v>2.9</v>
      </c>
      <c r="AD21" s="37">
        <v>15500</v>
      </c>
      <c r="AE21" s="37">
        <v>139700</v>
      </c>
      <c r="AF21" s="38">
        <v>11.1</v>
      </c>
      <c r="AG21" s="38">
        <v>2.5</v>
      </c>
      <c r="AH21" s="37">
        <v>12400</v>
      </c>
      <c r="AI21" s="37">
        <v>67200</v>
      </c>
      <c r="AJ21" s="38">
        <v>18.5</v>
      </c>
      <c r="AK21" s="38">
        <v>6</v>
      </c>
      <c r="AL21" s="37">
        <v>15000</v>
      </c>
      <c r="AM21" s="37">
        <v>114900</v>
      </c>
      <c r="AN21" s="38">
        <v>13</v>
      </c>
      <c r="AO21" s="38">
        <v>2.4</v>
      </c>
      <c r="AP21" s="37">
        <v>7100</v>
      </c>
      <c r="AQ21" s="37">
        <v>42300</v>
      </c>
      <c r="AR21" s="38">
        <v>16.7</v>
      </c>
      <c r="AS21" s="38">
        <v>6.6</v>
      </c>
      <c r="AT21" s="37">
        <v>42200</v>
      </c>
      <c r="AU21" s="37">
        <v>247900</v>
      </c>
      <c r="AV21" s="38">
        <v>17</v>
      </c>
      <c r="AW21" s="38">
        <v>2.5</v>
      </c>
      <c r="AX21" s="37">
        <v>4141700</v>
      </c>
      <c r="AY21" s="37">
        <v>26649200</v>
      </c>
      <c r="AZ21" s="38">
        <v>15.5</v>
      </c>
      <c r="BA21" s="38">
        <v>0.2</v>
      </c>
      <c r="BB21" s="37">
        <v>855300</v>
      </c>
      <c r="BC21" s="37">
        <v>4491700</v>
      </c>
      <c r="BD21" s="38">
        <v>19</v>
      </c>
      <c r="BE21" s="38">
        <v>0.7</v>
      </c>
    </row>
    <row r="22" spans="1:57" x14ac:dyDescent="0.35">
      <c r="A22" s="36" t="s">
        <v>29</v>
      </c>
      <c r="B22" s="37">
        <v>16500</v>
      </c>
      <c r="C22" s="37">
        <v>97100</v>
      </c>
      <c r="D22" s="38">
        <v>17</v>
      </c>
      <c r="E22" s="38">
        <v>2.5</v>
      </c>
      <c r="F22" s="37">
        <v>38300</v>
      </c>
      <c r="G22" s="37">
        <v>251400</v>
      </c>
      <c r="H22" s="38">
        <v>15.2</v>
      </c>
      <c r="I22" s="38">
        <v>2.6</v>
      </c>
      <c r="J22" s="37">
        <v>10300</v>
      </c>
      <c r="K22" s="37">
        <v>63400</v>
      </c>
      <c r="L22" s="38">
        <v>16.2</v>
      </c>
      <c r="M22" s="38">
        <v>5.8</v>
      </c>
      <c r="N22" s="37">
        <v>9200</v>
      </c>
      <c r="O22" s="37">
        <v>46300</v>
      </c>
      <c r="P22" s="38">
        <v>19.899999999999999</v>
      </c>
      <c r="Q22" s="38">
        <v>7.5</v>
      </c>
      <c r="R22" s="37">
        <v>4400</v>
      </c>
      <c r="S22" s="37">
        <v>39000</v>
      </c>
      <c r="T22" s="38">
        <v>11.4</v>
      </c>
      <c r="U22" s="38">
        <v>5.6</v>
      </c>
      <c r="V22" s="37">
        <v>5400</v>
      </c>
      <c r="W22" s="37">
        <v>64700</v>
      </c>
      <c r="X22" s="38">
        <v>8.3000000000000007</v>
      </c>
      <c r="Y22" s="38">
        <v>4.2</v>
      </c>
      <c r="Z22" s="37">
        <v>17300</v>
      </c>
      <c r="AA22" s="37">
        <v>103300</v>
      </c>
      <c r="AB22" s="38">
        <v>16.7</v>
      </c>
      <c r="AC22" s="38">
        <v>2.9</v>
      </c>
      <c r="AD22" s="37">
        <v>14400</v>
      </c>
      <c r="AE22" s="37">
        <v>142000</v>
      </c>
      <c r="AF22" s="38">
        <v>10.199999999999999</v>
      </c>
      <c r="AG22" s="38">
        <v>2.2000000000000002</v>
      </c>
      <c r="AH22" s="37">
        <v>10800</v>
      </c>
      <c r="AI22" s="37">
        <v>61300</v>
      </c>
      <c r="AJ22" s="38">
        <v>17.7</v>
      </c>
      <c r="AK22" s="38">
        <v>5.5</v>
      </c>
      <c r="AL22" s="37">
        <v>11800</v>
      </c>
      <c r="AM22" s="37">
        <v>113500</v>
      </c>
      <c r="AN22" s="38">
        <v>10.4</v>
      </c>
      <c r="AO22" s="38">
        <v>2.1</v>
      </c>
      <c r="AP22" s="37">
        <v>7700</v>
      </c>
      <c r="AQ22" s="37">
        <v>46500</v>
      </c>
      <c r="AR22" s="38">
        <v>16.600000000000001</v>
      </c>
      <c r="AS22" s="38">
        <v>6</v>
      </c>
      <c r="AT22" s="37">
        <v>43500</v>
      </c>
      <c r="AU22" s="37">
        <v>252500</v>
      </c>
      <c r="AV22" s="38">
        <v>17.2</v>
      </c>
      <c r="AW22" s="38">
        <v>2.5</v>
      </c>
      <c r="AX22" s="37">
        <v>4184200</v>
      </c>
      <c r="AY22" s="37">
        <v>27026400</v>
      </c>
      <c r="AZ22" s="38">
        <v>15.5</v>
      </c>
      <c r="BA22" s="38">
        <v>0.2</v>
      </c>
      <c r="BB22" s="37">
        <v>871100</v>
      </c>
      <c r="BC22" s="37">
        <v>4532200</v>
      </c>
      <c r="BD22" s="38">
        <v>19.2</v>
      </c>
      <c r="BE22" s="38">
        <v>0.7</v>
      </c>
    </row>
    <row r="23" spans="1:57" x14ac:dyDescent="0.35">
      <c r="A23" s="36" t="s">
        <v>28</v>
      </c>
      <c r="B23" s="37">
        <v>15000</v>
      </c>
      <c r="C23" s="37">
        <v>99700</v>
      </c>
      <c r="D23" s="38">
        <v>15</v>
      </c>
      <c r="E23" s="38">
        <v>2.5</v>
      </c>
      <c r="F23" s="37">
        <v>33800</v>
      </c>
      <c r="G23" s="37">
        <v>250700</v>
      </c>
      <c r="H23" s="38">
        <v>13.5</v>
      </c>
      <c r="I23" s="38">
        <v>2.4</v>
      </c>
      <c r="J23" s="37">
        <v>8600</v>
      </c>
      <c r="K23" s="37">
        <v>62200</v>
      </c>
      <c r="L23" s="38">
        <v>13.8</v>
      </c>
      <c r="M23" s="38">
        <v>5.3</v>
      </c>
      <c r="N23" s="37">
        <v>10700</v>
      </c>
      <c r="O23" s="37">
        <v>41200</v>
      </c>
      <c r="P23" s="38">
        <v>26.1</v>
      </c>
      <c r="Q23" s="38">
        <v>9.1999999999999993</v>
      </c>
      <c r="R23" s="37">
        <v>8700</v>
      </c>
      <c r="S23" s="37">
        <v>43500</v>
      </c>
      <c r="T23" s="38">
        <v>19.899999999999999</v>
      </c>
      <c r="U23" s="38">
        <v>7.9</v>
      </c>
      <c r="V23" s="37">
        <v>9300</v>
      </c>
      <c r="W23" s="37">
        <v>67700</v>
      </c>
      <c r="X23" s="38">
        <v>13.8</v>
      </c>
      <c r="Y23" s="38">
        <v>5.3</v>
      </c>
      <c r="Z23" s="37">
        <v>15800</v>
      </c>
      <c r="AA23" s="37">
        <v>104000</v>
      </c>
      <c r="AB23" s="38">
        <v>15.2</v>
      </c>
      <c r="AC23" s="38">
        <v>2.7</v>
      </c>
      <c r="AD23" s="37">
        <v>17200</v>
      </c>
      <c r="AE23" s="37">
        <v>146900</v>
      </c>
      <c r="AF23" s="38">
        <v>11.7</v>
      </c>
      <c r="AG23" s="38">
        <v>2.2999999999999998</v>
      </c>
      <c r="AH23" s="37">
        <v>12700</v>
      </c>
      <c r="AI23" s="37">
        <v>65300</v>
      </c>
      <c r="AJ23" s="38">
        <v>19.5</v>
      </c>
      <c r="AK23" s="38">
        <v>6.4</v>
      </c>
      <c r="AL23" s="37">
        <v>11800</v>
      </c>
      <c r="AM23" s="37">
        <v>112600</v>
      </c>
      <c r="AN23" s="38">
        <v>10.5</v>
      </c>
      <c r="AO23" s="38">
        <v>2.2000000000000002</v>
      </c>
      <c r="AP23" s="37">
        <v>8600</v>
      </c>
      <c r="AQ23" s="37">
        <v>47100</v>
      </c>
      <c r="AR23" s="38">
        <v>18.2</v>
      </c>
      <c r="AS23" s="38">
        <v>6.2</v>
      </c>
      <c r="AT23" s="37">
        <v>40200</v>
      </c>
      <c r="AU23" s="37">
        <v>247400</v>
      </c>
      <c r="AV23" s="38">
        <v>16.3</v>
      </c>
      <c r="AW23" s="38">
        <v>2.6</v>
      </c>
      <c r="AX23" s="37">
        <v>4186400</v>
      </c>
      <c r="AY23" s="37">
        <v>27223500</v>
      </c>
      <c r="AZ23" s="38">
        <v>15.4</v>
      </c>
      <c r="BA23" s="38">
        <v>0.2</v>
      </c>
      <c r="BB23" s="37">
        <v>869000</v>
      </c>
      <c r="BC23" s="37">
        <v>4619700</v>
      </c>
      <c r="BD23" s="38">
        <v>18.8</v>
      </c>
      <c r="BE23" s="38">
        <v>0.7</v>
      </c>
    </row>
    <row r="24" spans="1:57" x14ac:dyDescent="0.35">
      <c r="A24" s="36" t="s">
        <v>27</v>
      </c>
      <c r="B24" s="37">
        <v>17600</v>
      </c>
      <c r="C24" s="37">
        <v>98500</v>
      </c>
      <c r="D24" s="38">
        <v>17.8</v>
      </c>
      <c r="E24" s="38">
        <v>2.8</v>
      </c>
      <c r="F24" s="37">
        <v>32200</v>
      </c>
      <c r="G24" s="37">
        <v>251600</v>
      </c>
      <c r="H24" s="38">
        <v>12.8</v>
      </c>
      <c r="I24" s="38">
        <v>2.2999999999999998</v>
      </c>
      <c r="J24" s="37">
        <v>12300</v>
      </c>
      <c r="K24" s="37">
        <v>63600</v>
      </c>
      <c r="L24" s="38">
        <v>19.3</v>
      </c>
      <c r="M24" s="38">
        <v>6.3</v>
      </c>
      <c r="N24" s="37">
        <v>10400</v>
      </c>
      <c r="O24" s="37">
        <v>44100</v>
      </c>
      <c r="P24" s="38">
        <v>23.5</v>
      </c>
      <c r="Q24" s="38">
        <v>7.9</v>
      </c>
      <c r="R24" s="37">
        <v>6600</v>
      </c>
      <c r="S24" s="37">
        <v>41900</v>
      </c>
      <c r="T24" s="38">
        <v>15.7</v>
      </c>
      <c r="U24" s="38">
        <v>7.1</v>
      </c>
      <c r="V24" s="37">
        <v>8700</v>
      </c>
      <c r="W24" s="37">
        <v>70200</v>
      </c>
      <c r="X24" s="38">
        <v>12.3</v>
      </c>
      <c r="Y24" s="38">
        <v>4.9000000000000004</v>
      </c>
      <c r="Z24" s="37">
        <v>18100</v>
      </c>
      <c r="AA24" s="37">
        <v>104400</v>
      </c>
      <c r="AB24" s="38">
        <v>17.3</v>
      </c>
      <c r="AC24" s="38">
        <v>2.8</v>
      </c>
      <c r="AD24" s="37">
        <v>24000</v>
      </c>
      <c r="AE24" s="37">
        <v>148000</v>
      </c>
      <c r="AF24" s="38">
        <v>16.2</v>
      </c>
      <c r="AG24" s="38">
        <v>2.7</v>
      </c>
      <c r="AH24" s="37">
        <v>9100</v>
      </c>
      <c r="AI24" s="37">
        <v>64100</v>
      </c>
      <c r="AJ24" s="38">
        <v>14.1</v>
      </c>
      <c r="AK24" s="38">
        <v>5.6</v>
      </c>
      <c r="AL24" s="37">
        <v>11500</v>
      </c>
      <c r="AM24" s="37">
        <v>114800</v>
      </c>
      <c r="AN24" s="38">
        <v>10</v>
      </c>
      <c r="AO24" s="38">
        <v>2.1</v>
      </c>
      <c r="AP24" s="37">
        <v>8000</v>
      </c>
      <c r="AQ24" s="37">
        <v>44000</v>
      </c>
      <c r="AR24" s="38">
        <v>18.3</v>
      </c>
      <c r="AS24" s="38">
        <v>6.6</v>
      </c>
      <c r="AT24" s="37">
        <v>46300</v>
      </c>
      <c r="AU24" s="37">
        <v>244800</v>
      </c>
      <c r="AV24" s="38">
        <v>18.899999999999999</v>
      </c>
      <c r="AW24" s="38">
        <v>2.9</v>
      </c>
      <c r="AX24" s="37">
        <v>4295900</v>
      </c>
      <c r="AY24" s="37">
        <v>27555100</v>
      </c>
      <c r="AZ24" s="38">
        <v>15.6</v>
      </c>
      <c r="BA24" s="38">
        <v>0.2</v>
      </c>
      <c r="BB24" s="37">
        <v>862200</v>
      </c>
      <c r="BC24" s="37">
        <v>4669200</v>
      </c>
      <c r="BD24" s="38">
        <v>18.5</v>
      </c>
      <c r="BE24" s="38">
        <v>0.8</v>
      </c>
    </row>
    <row r="25" spans="1:57" x14ac:dyDescent="0.35">
      <c r="A25" s="36" t="s">
        <v>26</v>
      </c>
      <c r="B25" s="37">
        <v>19000</v>
      </c>
      <c r="C25" s="37">
        <v>103500</v>
      </c>
      <c r="D25" s="38">
        <v>18.399999999999999</v>
      </c>
      <c r="E25" s="38">
        <v>3.2</v>
      </c>
      <c r="F25" s="37">
        <v>27900</v>
      </c>
      <c r="G25" s="37">
        <v>254300</v>
      </c>
      <c r="H25" s="38">
        <v>11</v>
      </c>
      <c r="I25" s="38">
        <v>2.5</v>
      </c>
      <c r="J25" s="37">
        <v>10300</v>
      </c>
      <c r="K25" s="37">
        <v>57200</v>
      </c>
      <c r="L25" s="38">
        <v>18</v>
      </c>
      <c r="M25" s="38">
        <v>6.4</v>
      </c>
      <c r="N25" s="37">
        <v>8800</v>
      </c>
      <c r="O25" s="37">
        <v>43300</v>
      </c>
      <c r="P25" s="38">
        <v>20.399999999999999</v>
      </c>
      <c r="Q25" s="38">
        <v>7.7</v>
      </c>
      <c r="R25" s="37">
        <v>4300</v>
      </c>
      <c r="S25" s="37">
        <v>43500</v>
      </c>
      <c r="T25" s="38">
        <v>9.9</v>
      </c>
      <c r="U25" s="38">
        <v>5.6</v>
      </c>
      <c r="V25" s="37">
        <v>6400</v>
      </c>
      <c r="W25" s="37">
        <v>65500</v>
      </c>
      <c r="X25" s="38">
        <v>9.6999999999999993</v>
      </c>
      <c r="Y25" s="38">
        <v>5.3</v>
      </c>
      <c r="Z25" s="37">
        <v>16700</v>
      </c>
      <c r="AA25" s="37">
        <v>105800</v>
      </c>
      <c r="AB25" s="38">
        <v>15.8</v>
      </c>
      <c r="AC25" s="38">
        <v>2.9</v>
      </c>
      <c r="AD25" s="37">
        <v>16400</v>
      </c>
      <c r="AE25" s="37">
        <v>148600</v>
      </c>
      <c r="AF25" s="38">
        <v>11</v>
      </c>
      <c r="AG25" s="38">
        <v>2.6</v>
      </c>
      <c r="AH25" s="37">
        <v>7900</v>
      </c>
      <c r="AI25" s="37">
        <v>62600</v>
      </c>
      <c r="AJ25" s="38">
        <v>12.7</v>
      </c>
      <c r="AK25" s="38">
        <v>5.2</v>
      </c>
      <c r="AL25" s="37">
        <v>11300</v>
      </c>
      <c r="AM25" s="37">
        <v>113400</v>
      </c>
      <c r="AN25" s="38">
        <v>10</v>
      </c>
      <c r="AO25" s="38">
        <v>2.5</v>
      </c>
      <c r="AP25" s="37">
        <v>4700</v>
      </c>
      <c r="AQ25" s="37">
        <v>47100</v>
      </c>
      <c r="AR25" s="38">
        <v>10.1</v>
      </c>
      <c r="AS25" s="38">
        <v>5.4</v>
      </c>
      <c r="AT25" s="37">
        <v>48800</v>
      </c>
      <c r="AU25" s="37">
        <v>243100</v>
      </c>
      <c r="AV25" s="38">
        <v>20.100000000000001</v>
      </c>
      <c r="AW25" s="38">
        <v>3.2</v>
      </c>
      <c r="AX25" s="37">
        <v>3918200</v>
      </c>
      <c r="AY25" s="37">
        <v>27445900</v>
      </c>
      <c r="AZ25" s="38">
        <v>14.3</v>
      </c>
      <c r="BA25" s="38">
        <v>0.3</v>
      </c>
      <c r="BB25" s="37">
        <v>769700</v>
      </c>
      <c r="BC25" s="37">
        <v>4748100</v>
      </c>
      <c r="BD25" s="38">
        <v>16.2</v>
      </c>
      <c r="BE25" s="38">
        <v>0.8</v>
      </c>
    </row>
    <row r="26" spans="1:57" x14ac:dyDescent="0.35">
      <c r="A26" s="36" t="s">
        <v>25</v>
      </c>
      <c r="B26" s="37">
        <v>14700</v>
      </c>
      <c r="C26" s="37">
        <v>97600</v>
      </c>
      <c r="D26" s="38">
        <v>15</v>
      </c>
      <c r="E26" s="38">
        <v>3.2</v>
      </c>
      <c r="F26" s="37">
        <v>20900</v>
      </c>
      <c r="G26" s="37">
        <v>255500</v>
      </c>
      <c r="H26" s="38">
        <v>8.1999999999999993</v>
      </c>
      <c r="I26" s="38">
        <v>2.1</v>
      </c>
      <c r="J26" s="37">
        <v>6100</v>
      </c>
      <c r="K26" s="37">
        <v>58800</v>
      </c>
      <c r="L26" s="38">
        <v>10.4</v>
      </c>
      <c r="M26" s="38">
        <v>4.9000000000000004</v>
      </c>
      <c r="N26" s="37">
        <v>10600</v>
      </c>
      <c r="O26" s="37">
        <v>44700</v>
      </c>
      <c r="P26" s="38">
        <v>23.8</v>
      </c>
      <c r="Q26" s="38">
        <v>7.5</v>
      </c>
      <c r="R26" s="37">
        <v>5400</v>
      </c>
      <c r="S26" s="37">
        <v>41200</v>
      </c>
      <c r="T26" s="38">
        <v>13.2</v>
      </c>
      <c r="U26" s="38">
        <v>5.7</v>
      </c>
      <c r="V26" s="37">
        <v>6800</v>
      </c>
      <c r="W26" s="37">
        <v>72500</v>
      </c>
      <c r="X26" s="38">
        <v>9.4</v>
      </c>
      <c r="Y26" s="38">
        <v>4.5</v>
      </c>
      <c r="Z26" s="37">
        <v>17300</v>
      </c>
      <c r="AA26" s="37">
        <v>107600</v>
      </c>
      <c r="AB26" s="38">
        <v>16</v>
      </c>
      <c r="AC26" s="38">
        <v>3.1</v>
      </c>
      <c r="AD26" s="37">
        <v>18200</v>
      </c>
      <c r="AE26" s="37">
        <v>150900</v>
      </c>
      <c r="AF26" s="38">
        <v>12.1</v>
      </c>
      <c r="AG26" s="38">
        <v>2.5</v>
      </c>
      <c r="AH26" s="37">
        <v>7600</v>
      </c>
      <c r="AI26" s="37">
        <v>56400</v>
      </c>
      <c r="AJ26" s="38">
        <v>13.4</v>
      </c>
      <c r="AK26" s="38">
        <v>4.8</v>
      </c>
      <c r="AL26" s="37">
        <v>10800</v>
      </c>
      <c r="AM26" s="37">
        <v>108700</v>
      </c>
      <c r="AN26" s="38">
        <v>9.9</v>
      </c>
      <c r="AO26" s="38">
        <v>2.5</v>
      </c>
      <c r="AP26" s="37">
        <v>6000</v>
      </c>
      <c r="AQ26" s="37">
        <v>41500</v>
      </c>
      <c r="AR26" s="38">
        <v>14.5</v>
      </c>
      <c r="AS26" s="38">
        <v>6.4</v>
      </c>
      <c r="AT26" s="37">
        <v>33800</v>
      </c>
      <c r="AU26" s="37">
        <v>252900</v>
      </c>
      <c r="AV26" s="38">
        <v>13.4</v>
      </c>
      <c r="AW26" s="38">
        <v>2.5</v>
      </c>
      <c r="AX26" s="37">
        <v>3690100</v>
      </c>
      <c r="AY26" s="37">
        <v>27272400</v>
      </c>
      <c r="AZ26" s="38">
        <v>13.5</v>
      </c>
      <c r="BA26" s="38">
        <v>0.3</v>
      </c>
      <c r="BB26" s="37">
        <v>742800</v>
      </c>
      <c r="BC26" s="37">
        <v>4754300</v>
      </c>
      <c r="BD26" s="38">
        <v>15.6</v>
      </c>
      <c r="BE26" s="38">
        <v>0.8</v>
      </c>
    </row>
    <row r="27" spans="1:57" x14ac:dyDescent="0.35">
      <c r="A27" s="36" t="s">
        <v>24</v>
      </c>
      <c r="B27" s="37">
        <v>16000</v>
      </c>
      <c r="C27" s="37">
        <v>92300</v>
      </c>
      <c r="D27" s="38">
        <v>17.3</v>
      </c>
      <c r="E27" s="38">
        <v>3.9</v>
      </c>
      <c r="F27" s="37">
        <v>27700</v>
      </c>
      <c r="G27" s="37">
        <v>257100</v>
      </c>
      <c r="H27" s="38">
        <v>10.8</v>
      </c>
      <c r="I27" s="38">
        <v>2.5</v>
      </c>
      <c r="J27" s="37">
        <v>7400</v>
      </c>
      <c r="K27" s="37">
        <v>65100</v>
      </c>
      <c r="L27" s="38">
        <v>11.4</v>
      </c>
      <c r="M27" s="38">
        <v>5.3</v>
      </c>
      <c r="N27" s="37">
        <v>8300</v>
      </c>
      <c r="O27" s="37">
        <v>46900</v>
      </c>
      <c r="P27" s="38">
        <v>17.7</v>
      </c>
      <c r="Q27" s="38">
        <v>6.7</v>
      </c>
      <c r="R27" s="37">
        <v>5000</v>
      </c>
      <c r="S27" s="37">
        <v>37200</v>
      </c>
      <c r="T27" s="38">
        <v>13.5</v>
      </c>
      <c r="U27" s="38">
        <v>7</v>
      </c>
      <c r="V27" s="37">
        <v>6800</v>
      </c>
      <c r="W27" s="37">
        <v>66600</v>
      </c>
      <c r="X27" s="38">
        <v>10.199999999999999</v>
      </c>
      <c r="Y27" s="38">
        <v>4.7</v>
      </c>
      <c r="Z27" s="37">
        <v>14600</v>
      </c>
      <c r="AA27" s="37">
        <v>108000</v>
      </c>
      <c r="AB27" s="38">
        <v>13.5</v>
      </c>
      <c r="AC27" s="38">
        <v>3</v>
      </c>
      <c r="AD27" s="37">
        <v>22800</v>
      </c>
      <c r="AE27" s="37">
        <v>156900</v>
      </c>
      <c r="AF27" s="38">
        <v>14.5</v>
      </c>
      <c r="AG27" s="38">
        <v>3</v>
      </c>
      <c r="AH27" s="37">
        <v>8100</v>
      </c>
      <c r="AI27" s="37">
        <v>63600</v>
      </c>
      <c r="AJ27" s="38">
        <v>12.8</v>
      </c>
      <c r="AK27" s="38">
        <v>5</v>
      </c>
      <c r="AL27" s="37">
        <v>9600</v>
      </c>
      <c r="AM27" s="37">
        <v>110500</v>
      </c>
      <c r="AN27" s="38">
        <v>8.6</v>
      </c>
      <c r="AO27" s="38">
        <v>2.7</v>
      </c>
      <c r="AP27" s="37">
        <v>8200</v>
      </c>
      <c r="AQ27" s="37">
        <v>45900</v>
      </c>
      <c r="AR27" s="38">
        <v>17.8</v>
      </c>
      <c r="AS27" s="38">
        <v>7.1</v>
      </c>
      <c r="AT27" s="37">
        <v>34900</v>
      </c>
      <c r="AU27" s="37">
        <v>255000</v>
      </c>
      <c r="AV27" s="38">
        <v>13.7</v>
      </c>
      <c r="AW27" s="38">
        <v>2.7</v>
      </c>
      <c r="AX27" s="37">
        <v>3721000</v>
      </c>
      <c r="AY27" s="37">
        <v>27701500</v>
      </c>
      <c r="AZ27" s="38">
        <v>13.4</v>
      </c>
      <c r="BA27" s="38">
        <v>0.3</v>
      </c>
      <c r="BB27" s="37">
        <v>770700</v>
      </c>
      <c r="BC27" s="37">
        <v>4837900</v>
      </c>
      <c r="BD27" s="38">
        <v>15.9</v>
      </c>
      <c r="BE27" s="38">
        <v>0.9</v>
      </c>
    </row>
    <row r="28" spans="1:57" x14ac:dyDescent="0.35">
      <c r="A28" s="36" t="s">
        <v>23</v>
      </c>
      <c r="B28" s="37">
        <v>13300</v>
      </c>
      <c r="C28" s="37">
        <v>97800</v>
      </c>
      <c r="D28" s="38">
        <v>13.6</v>
      </c>
      <c r="E28" s="38">
        <v>3.5</v>
      </c>
      <c r="F28" s="37">
        <v>29500</v>
      </c>
      <c r="G28" s="37">
        <v>252000</v>
      </c>
      <c r="H28" s="38">
        <v>11.7</v>
      </c>
      <c r="I28" s="38">
        <v>3.1</v>
      </c>
      <c r="J28" s="37">
        <v>11400</v>
      </c>
      <c r="K28" s="37">
        <v>62100</v>
      </c>
      <c r="L28" s="38">
        <v>18.3</v>
      </c>
      <c r="M28" s="38">
        <v>7.5</v>
      </c>
      <c r="N28" s="37">
        <v>11300</v>
      </c>
      <c r="O28" s="37">
        <v>41000</v>
      </c>
      <c r="P28" s="38">
        <v>27.6</v>
      </c>
      <c r="Q28" s="38">
        <v>10.5</v>
      </c>
      <c r="R28" s="37">
        <v>11300</v>
      </c>
      <c r="S28" s="37">
        <v>43700</v>
      </c>
      <c r="T28" s="38">
        <v>25.8</v>
      </c>
      <c r="U28" s="38">
        <v>9.6999999999999993</v>
      </c>
      <c r="V28" s="37">
        <v>7200</v>
      </c>
      <c r="W28" s="37">
        <v>77400</v>
      </c>
      <c r="X28" s="38">
        <v>9.3000000000000007</v>
      </c>
      <c r="Y28" s="38">
        <v>5.6</v>
      </c>
      <c r="Z28" s="37">
        <v>16300</v>
      </c>
      <c r="AA28" s="37">
        <v>105100</v>
      </c>
      <c r="AB28" s="38">
        <v>15.5</v>
      </c>
      <c r="AC28" s="38">
        <v>3.7</v>
      </c>
      <c r="AD28" s="37">
        <v>15800</v>
      </c>
      <c r="AE28" s="37">
        <v>160300</v>
      </c>
      <c r="AF28" s="38">
        <v>9.8000000000000007</v>
      </c>
      <c r="AG28" s="38">
        <v>2.8</v>
      </c>
      <c r="AH28" s="37">
        <v>15300</v>
      </c>
      <c r="AI28" s="37">
        <v>67400</v>
      </c>
      <c r="AJ28" s="38">
        <v>22.7</v>
      </c>
      <c r="AK28" s="38">
        <v>8.6</v>
      </c>
      <c r="AL28" s="37">
        <v>12800</v>
      </c>
      <c r="AM28" s="37">
        <v>117000</v>
      </c>
      <c r="AN28" s="38">
        <v>11</v>
      </c>
      <c r="AO28" s="38">
        <v>3.5</v>
      </c>
      <c r="AP28" s="37">
        <v>5100</v>
      </c>
      <c r="AQ28" s="37">
        <v>42500</v>
      </c>
      <c r="AR28" s="38">
        <v>12.1</v>
      </c>
      <c r="AS28" s="37" t="s">
        <v>21</v>
      </c>
      <c r="AT28" s="37">
        <v>34900</v>
      </c>
      <c r="AU28" s="37">
        <v>253900</v>
      </c>
      <c r="AV28" s="38">
        <v>13.8</v>
      </c>
      <c r="AW28" s="38">
        <v>3.1</v>
      </c>
      <c r="AX28" s="37">
        <v>3772800</v>
      </c>
      <c r="AY28" s="37">
        <v>27915900</v>
      </c>
      <c r="AZ28" s="38">
        <v>13.5</v>
      </c>
      <c r="BA28" s="38">
        <v>0.3</v>
      </c>
      <c r="BB28" s="37">
        <v>803000</v>
      </c>
      <c r="BC28" s="37">
        <v>4781700</v>
      </c>
      <c r="BD28" s="38">
        <v>16.8</v>
      </c>
      <c r="BE28" s="38">
        <v>1.1000000000000001</v>
      </c>
    </row>
    <row r="29" spans="1:57" x14ac:dyDescent="0.35">
      <c r="A29" s="36" t="s">
        <v>22</v>
      </c>
      <c r="B29" s="37">
        <v>17100</v>
      </c>
      <c r="C29" s="37">
        <v>98600</v>
      </c>
      <c r="D29" s="38">
        <v>17.399999999999999</v>
      </c>
      <c r="E29" s="38">
        <v>3.7</v>
      </c>
      <c r="F29" s="37">
        <v>37900</v>
      </c>
      <c r="G29" s="37">
        <v>261100</v>
      </c>
      <c r="H29" s="38">
        <v>14.5</v>
      </c>
      <c r="I29" s="38">
        <v>3.4</v>
      </c>
      <c r="J29" s="37">
        <v>11700</v>
      </c>
      <c r="K29" s="37">
        <v>62300</v>
      </c>
      <c r="L29" s="38">
        <v>18.8</v>
      </c>
      <c r="M29" s="38">
        <v>7.5</v>
      </c>
      <c r="N29" s="37">
        <v>7500</v>
      </c>
      <c r="O29" s="37">
        <v>43400</v>
      </c>
      <c r="P29" s="38">
        <v>17.399999999999999</v>
      </c>
      <c r="Q29" s="38">
        <v>9.4</v>
      </c>
      <c r="R29" s="37">
        <v>8500</v>
      </c>
      <c r="S29" s="37">
        <v>45200</v>
      </c>
      <c r="T29" s="38">
        <v>18.8</v>
      </c>
      <c r="U29" s="38">
        <v>8.1999999999999993</v>
      </c>
      <c r="V29" s="37">
        <v>6300</v>
      </c>
      <c r="W29" s="37">
        <v>73000</v>
      </c>
      <c r="X29" s="38">
        <v>8.6</v>
      </c>
      <c r="Y29" s="37" t="s">
        <v>21</v>
      </c>
      <c r="Z29" s="37">
        <v>15700</v>
      </c>
      <c r="AA29" s="37">
        <v>103800</v>
      </c>
      <c r="AB29" s="38">
        <v>15.2</v>
      </c>
      <c r="AC29" s="38">
        <v>3.3</v>
      </c>
      <c r="AD29" s="37">
        <v>16500</v>
      </c>
      <c r="AE29" s="37">
        <v>154900</v>
      </c>
      <c r="AF29" s="38">
        <v>10.6</v>
      </c>
      <c r="AG29" s="38">
        <v>2.7</v>
      </c>
      <c r="AH29" s="37">
        <v>11500</v>
      </c>
      <c r="AI29" s="37">
        <v>55900</v>
      </c>
      <c r="AJ29" s="38">
        <v>20.7</v>
      </c>
      <c r="AK29" s="38">
        <v>8</v>
      </c>
      <c r="AL29" s="37">
        <v>10400</v>
      </c>
      <c r="AM29" s="37">
        <v>119300</v>
      </c>
      <c r="AN29" s="38">
        <v>8.6999999999999993</v>
      </c>
      <c r="AO29" s="38">
        <v>3</v>
      </c>
      <c r="AP29" s="37">
        <v>4200</v>
      </c>
      <c r="AQ29" s="37">
        <v>51200</v>
      </c>
      <c r="AR29" s="38">
        <v>8.3000000000000007</v>
      </c>
      <c r="AS29" s="37" t="s">
        <v>21</v>
      </c>
      <c r="AT29" s="37">
        <v>40900</v>
      </c>
      <c r="AU29" s="37">
        <v>254500</v>
      </c>
      <c r="AV29" s="38">
        <v>16.100000000000001</v>
      </c>
      <c r="AW29" s="38">
        <v>3.1</v>
      </c>
      <c r="AX29" s="37">
        <v>3757100</v>
      </c>
      <c r="AY29" s="37">
        <v>27891700</v>
      </c>
      <c r="AZ29" s="38">
        <v>13.5</v>
      </c>
      <c r="BA29" s="38">
        <v>0.3</v>
      </c>
      <c r="BB29" s="37">
        <v>811400</v>
      </c>
      <c r="BC29" s="37">
        <v>4867300</v>
      </c>
      <c r="BD29" s="38">
        <v>16.7</v>
      </c>
      <c r="BE29" s="38">
        <v>1</v>
      </c>
    </row>
    <row r="30" spans="1:57" x14ac:dyDescent="0.35">
      <c r="A30" s="36" t="s">
        <v>94</v>
      </c>
      <c r="B30" s="37">
        <v>15200</v>
      </c>
      <c r="C30" s="37">
        <v>99300</v>
      </c>
      <c r="D30" s="38">
        <v>15.4</v>
      </c>
      <c r="E30" s="38">
        <v>3.4</v>
      </c>
      <c r="F30" s="37">
        <v>33100</v>
      </c>
      <c r="G30" s="37">
        <v>262000</v>
      </c>
      <c r="H30" s="38">
        <v>12.6</v>
      </c>
      <c r="I30" s="38">
        <v>2.7</v>
      </c>
      <c r="J30" s="37">
        <v>5400</v>
      </c>
      <c r="K30" s="37">
        <v>62100</v>
      </c>
      <c r="L30" s="38">
        <v>8.6999999999999993</v>
      </c>
      <c r="M30" s="38">
        <v>5.2</v>
      </c>
      <c r="N30" s="37">
        <v>11200</v>
      </c>
      <c r="O30" s="37">
        <v>45200</v>
      </c>
      <c r="P30" s="38">
        <v>24.8</v>
      </c>
      <c r="Q30" s="38">
        <v>8.1</v>
      </c>
      <c r="R30" s="37">
        <v>8800</v>
      </c>
      <c r="S30" s="37">
        <v>43800</v>
      </c>
      <c r="T30" s="38">
        <v>20.100000000000001</v>
      </c>
      <c r="U30" s="38">
        <v>10.3</v>
      </c>
      <c r="V30" s="37">
        <v>5800</v>
      </c>
      <c r="W30" s="37">
        <v>73100</v>
      </c>
      <c r="X30" s="38">
        <v>8</v>
      </c>
      <c r="Y30" s="38">
        <v>4.5</v>
      </c>
      <c r="Z30" s="37">
        <v>15300</v>
      </c>
      <c r="AA30" s="37">
        <v>105300</v>
      </c>
      <c r="AB30" s="38">
        <v>14.5</v>
      </c>
      <c r="AC30" s="38">
        <v>2.9</v>
      </c>
      <c r="AD30" s="37">
        <v>18300</v>
      </c>
      <c r="AE30" s="37">
        <v>156400</v>
      </c>
      <c r="AF30" s="38">
        <v>11.7</v>
      </c>
      <c r="AG30" s="38">
        <v>2.6</v>
      </c>
      <c r="AH30" s="37">
        <v>12300</v>
      </c>
      <c r="AI30" s="37">
        <v>66600</v>
      </c>
      <c r="AJ30" s="38">
        <v>18.5</v>
      </c>
      <c r="AK30" s="38">
        <v>6.4</v>
      </c>
      <c r="AL30" s="37">
        <v>10700</v>
      </c>
      <c r="AM30" s="37">
        <v>115300</v>
      </c>
      <c r="AN30" s="38">
        <v>9.3000000000000007</v>
      </c>
      <c r="AO30" s="38">
        <v>2.7</v>
      </c>
      <c r="AP30" s="37">
        <v>7600</v>
      </c>
      <c r="AQ30" s="37">
        <v>47900</v>
      </c>
      <c r="AR30" s="38">
        <v>16</v>
      </c>
      <c r="AS30" s="38">
        <v>7</v>
      </c>
      <c r="AT30" s="37">
        <v>42400</v>
      </c>
      <c r="AU30" s="37">
        <v>260300</v>
      </c>
      <c r="AV30" s="38">
        <v>16.3</v>
      </c>
      <c r="AW30" s="38">
        <v>3</v>
      </c>
      <c r="AX30" s="37">
        <v>3851400</v>
      </c>
      <c r="AY30" s="37">
        <v>28226800</v>
      </c>
      <c r="AZ30" s="38">
        <v>13.6</v>
      </c>
      <c r="BA30" s="38">
        <v>0.3</v>
      </c>
      <c r="BB30" s="37">
        <v>750800</v>
      </c>
      <c r="BC30" s="37">
        <v>4875500</v>
      </c>
      <c r="BD30" s="38">
        <v>15.4</v>
      </c>
      <c r="BE30" s="38">
        <v>0.9</v>
      </c>
    </row>
    <row r="32" spans="1:57" x14ac:dyDescent="0.35">
      <c r="A32" s="32" t="s">
        <v>20</v>
      </c>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row>
    <row r="33" spans="1:57" x14ac:dyDescent="0.35">
      <c r="A33" s="32" t="s">
        <v>19</v>
      </c>
    </row>
    <row r="34" spans="1:57" x14ac:dyDescent="0.35">
      <c r="A34" s="32" t="s">
        <v>18</v>
      </c>
    </row>
    <row r="35" spans="1:57" x14ac:dyDescent="0.35">
      <c r="A35" s="32" t="s">
        <v>17</v>
      </c>
    </row>
    <row r="40" spans="1:57" ht="15.5" x14ac:dyDescent="0.35">
      <c r="A40" s="16" t="s">
        <v>67</v>
      </c>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row>
    <row r="41" spans="1:57" x14ac:dyDescent="0.35">
      <c r="A41" s="9" t="s">
        <v>66</v>
      </c>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row>
    <row r="43" spans="1:57" x14ac:dyDescent="0.35">
      <c r="A43" s="13" t="s">
        <v>65</v>
      </c>
      <c r="B43" s="13" t="s">
        <v>64</v>
      </c>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row>
    <row r="44" spans="1:57" x14ac:dyDescent="0.35">
      <c r="A44" s="13" t="s">
        <v>63</v>
      </c>
      <c r="B44" s="13" t="s">
        <v>62</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row>
    <row r="46" spans="1:57" ht="32.5" customHeight="1" x14ac:dyDescent="0.35">
      <c r="A46" s="15" t="s">
        <v>61</v>
      </c>
      <c r="B46" s="28" t="s">
        <v>60</v>
      </c>
      <c r="C46" s="28"/>
      <c r="D46" s="28"/>
      <c r="E46" s="28"/>
      <c r="F46" s="28" t="s">
        <v>59</v>
      </c>
      <c r="G46" s="28"/>
      <c r="H46" s="28"/>
      <c r="I46" s="28"/>
      <c r="J46" s="28" t="s">
        <v>58</v>
      </c>
      <c r="K46" s="28"/>
      <c r="L46" s="28"/>
      <c r="M46" s="28"/>
      <c r="N46" s="28" t="s">
        <v>57</v>
      </c>
      <c r="O46" s="28"/>
      <c r="P46" s="28"/>
      <c r="Q46" s="28"/>
      <c r="R46" s="28" t="s">
        <v>56</v>
      </c>
      <c r="S46" s="28"/>
      <c r="T46" s="28"/>
      <c r="U46" s="28"/>
      <c r="V46" s="28" t="s">
        <v>55</v>
      </c>
      <c r="W46" s="28"/>
      <c r="X46" s="28"/>
      <c r="Y46" s="28"/>
      <c r="Z46" s="28" t="s">
        <v>54</v>
      </c>
      <c r="AA46" s="28"/>
      <c r="AB46" s="28"/>
      <c r="AC46" s="28"/>
      <c r="AD46" s="28" t="s">
        <v>53</v>
      </c>
      <c r="AE46" s="28"/>
      <c r="AF46" s="28"/>
      <c r="AG46" s="28"/>
      <c r="AH46" s="28" t="s">
        <v>52</v>
      </c>
      <c r="AI46" s="28"/>
      <c r="AJ46" s="28"/>
      <c r="AK46" s="28"/>
      <c r="AL46" s="28" t="s">
        <v>51</v>
      </c>
      <c r="AM46" s="28"/>
      <c r="AN46" s="28"/>
      <c r="AO46" s="28"/>
      <c r="AP46" s="28" t="s">
        <v>50</v>
      </c>
      <c r="AQ46" s="28"/>
      <c r="AR46" s="28"/>
      <c r="AS46" s="28"/>
      <c r="AT46" s="28" t="s">
        <v>49</v>
      </c>
      <c r="AU46" s="28"/>
      <c r="AV46" s="28"/>
      <c r="AW46" s="28"/>
      <c r="AX46" s="28" t="s">
        <v>48</v>
      </c>
      <c r="AY46" s="28"/>
      <c r="AZ46" s="28"/>
      <c r="BA46" s="28"/>
      <c r="BB46" s="28" t="s">
        <v>47</v>
      </c>
      <c r="BC46" s="28"/>
      <c r="BD46" s="28"/>
      <c r="BE46" s="28"/>
    </row>
    <row r="47" spans="1:57" x14ac:dyDescent="0.35">
      <c r="A47" s="21"/>
      <c r="B47" s="14" t="s">
        <v>46</v>
      </c>
      <c r="C47" s="14" t="s">
        <v>45</v>
      </c>
      <c r="D47" s="14" t="s">
        <v>44</v>
      </c>
      <c r="E47" s="14" t="s">
        <v>43</v>
      </c>
      <c r="F47" s="14" t="s">
        <v>46</v>
      </c>
      <c r="G47" s="14" t="s">
        <v>45</v>
      </c>
      <c r="H47" s="14" t="s">
        <v>44</v>
      </c>
      <c r="I47" s="14" t="s">
        <v>43</v>
      </c>
      <c r="J47" s="14" t="s">
        <v>46</v>
      </c>
      <c r="K47" s="14" t="s">
        <v>45</v>
      </c>
      <c r="L47" s="14" t="s">
        <v>44</v>
      </c>
      <c r="M47" s="14" t="s">
        <v>43</v>
      </c>
      <c r="N47" s="14" t="s">
        <v>46</v>
      </c>
      <c r="O47" s="14" t="s">
        <v>45</v>
      </c>
      <c r="P47" s="14" t="s">
        <v>44</v>
      </c>
      <c r="Q47" s="14" t="s">
        <v>43</v>
      </c>
      <c r="R47" s="14" t="s">
        <v>46</v>
      </c>
      <c r="S47" s="14" t="s">
        <v>45</v>
      </c>
      <c r="T47" s="14" t="s">
        <v>44</v>
      </c>
      <c r="U47" s="14" t="s">
        <v>43</v>
      </c>
      <c r="V47" s="14" t="s">
        <v>46</v>
      </c>
      <c r="W47" s="14" t="s">
        <v>45</v>
      </c>
      <c r="X47" s="14" t="s">
        <v>44</v>
      </c>
      <c r="Y47" s="14" t="s">
        <v>43</v>
      </c>
      <c r="Z47" s="14" t="s">
        <v>46</v>
      </c>
      <c r="AA47" s="14" t="s">
        <v>45</v>
      </c>
      <c r="AB47" s="14" t="s">
        <v>44</v>
      </c>
      <c r="AC47" s="14" t="s">
        <v>43</v>
      </c>
      <c r="AD47" s="14" t="s">
        <v>46</v>
      </c>
      <c r="AE47" s="14" t="s">
        <v>45</v>
      </c>
      <c r="AF47" s="14" t="s">
        <v>44</v>
      </c>
      <c r="AG47" s="14" t="s">
        <v>43</v>
      </c>
      <c r="AH47" s="14" t="s">
        <v>46</v>
      </c>
      <c r="AI47" s="14" t="s">
        <v>45</v>
      </c>
      <c r="AJ47" s="14" t="s">
        <v>44</v>
      </c>
      <c r="AK47" s="14" t="s">
        <v>43</v>
      </c>
      <c r="AL47" s="14" t="s">
        <v>46</v>
      </c>
      <c r="AM47" s="14" t="s">
        <v>45</v>
      </c>
      <c r="AN47" s="14" t="s">
        <v>44</v>
      </c>
      <c r="AO47" s="14" t="s">
        <v>43</v>
      </c>
      <c r="AP47" s="14" t="s">
        <v>46</v>
      </c>
      <c r="AQ47" s="14" t="s">
        <v>45</v>
      </c>
      <c r="AR47" s="14" t="s">
        <v>44</v>
      </c>
      <c r="AS47" s="14" t="s">
        <v>43</v>
      </c>
      <c r="AT47" s="14" t="s">
        <v>46</v>
      </c>
      <c r="AU47" s="14" t="s">
        <v>45</v>
      </c>
      <c r="AV47" s="14" t="s">
        <v>44</v>
      </c>
      <c r="AW47" s="14" t="s">
        <v>43</v>
      </c>
      <c r="AX47" s="14" t="s">
        <v>46</v>
      </c>
      <c r="AY47" s="14" t="s">
        <v>45</v>
      </c>
      <c r="AZ47" s="14" t="s">
        <v>44</v>
      </c>
      <c r="BA47" s="14" t="s">
        <v>43</v>
      </c>
      <c r="BB47" s="14" t="s">
        <v>46</v>
      </c>
      <c r="BC47" s="14" t="s">
        <v>45</v>
      </c>
      <c r="BD47" s="14" t="s">
        <v>44</v>
      </c>
      <c r="BE47" s="14" t="s">
        <v>43</v>
      </c>
    </row>
    <row r="48" spans="1:57" x14ac:dyDescent="0.35">
      <c r="A48" s="13" t="s">
        <v>42</v>
      </c>
      <c r="B48" s="12">
        <v>11300</v>
      </c>
      <c r="C48" s="12">
        <v>85700</v>
      </c>
      <c r="D48" s="11">
        <v>13.2</v>
      </c>
      <c r="E48" s="11">
        <v>2.1</v>
      </c>
      <c r="F48" s="12">
        <v>20100</v>
      </c>
      <c r="G48" s="12">
        <v>197500</v>
      </c>
      <c r="H48" s="11">
        <v>10.199999999999999</v>
      </c>
      <c r="I48" s="11">
        <v>2</v>
      </c>
      <c r="J48" s="12">
        <v>6300</v>
      </c>
      <c r="K48" s="12">
        <v>55000</v>
      </c>
      <c r="L48" s="11">
        <v>11.5</v>
      </c>
      <c r="M48" s="11">
        <v>3</v>
      </c>
      <c r="N48" s="12">
        <v>8500</v>
      </c>
      <c r="O48" s="12">
        <v>41200</v>
      </c>
      <c r="P48" s="11">
        <v>20.7</v>
      </c>
      <c r="Q48" s="11">
        <v>3.6</v>
      </c>
      <c r="R48" s="12">
        <v>6100</v>
      </c>
      <c r="S48" s="12">
        <v>39100</v>
      </c>
      <c r="T48" s="11">
        <v>15.6</v>
      </c>
      <c r="U48" s="11">
        <v>3.2</v>
      </c>
      <c r="V48" s="12">
        <v>4600</v>
      </c>
      <c r="W48" s="12">
        <v>55400</v>
      </c>
      <c r="X48" s="11">
        <v>8.1999999999999993</v>
      </c>
      <c r="Y48" s="11">
        <v>2.5</v>
      </c>
      <c r="Z48" s="12">
        <v>11900</v>
      </c>
      <c r="AA48" s="12">
        <v>91300</v>
      </c>
      <c r="AB48" s="11">
        <v>13</v>
      </c>
      <c r="AC48" s="11">
        <v>2.2000000000000002</v>
      </c>
      <c r="AD48" s="12">
        <v>14000</v>
      </c>
      <c r="AE48" s="12">
        <v>134100</v>
      </c>
      <c r="AF48" s="11">
        <v>10.4</v>
      </c>
      <c r="AG48" s="11">
        <v>2.1</v>
      </c>
      <c r="AH48" s="12">
        <v>6900</v>
      </c>
      <c r="AI48" s="12">
        <v>54700</v>
      </c>
      <c r="AJ48" s="11">
        <v>12.6</v>
      </c>
      <c r="AK48" s="11">
        <v>3.1</v>
      </c>
      <c r="AL48" s="12">
        <v>10400</v>
      </c>
      <c r="AM48" s="12">
        <v>97800</v>
      </c>
      <c r="AN48" s="11">
        <v>10.6</v>
      </c>
      <c r="AO48" s="11">
        <v>2.2000000000000002</v>
      </c>
      <c r="AP48" s="12">
        <v>4300</v>
      </c>
      <c r="AQ48" s="12">
        <v>39700</v>
      </c>
      <c r="AR48" s="11">
        <v>10.7</v>
      </c>
      <c r="AS48" s="11">
        <v>3.1</v>
      </c>
      <c r="AT48" s="12">
        <v>29900</v>
      </c>
      <c r="AU48" s="12">
        <v>221700</v>
      </c>
      <c r="AV48" s="11">
        <v>13.5</v>
      </c>
      <c r="AW48" s="11">
        <v>1.6</v>
      </c>
      <c r="AX48" s="12">
        <v>3045400</v>
      </c>
      <c r="AY48" s="12">
        <v>23858900</v>
      </c>
      <c r="AZ48" s="11">
        <v>12.8</v>
      </c>
      <c r="BA48" s="11">
        <v>0.2</v>
      </c>
      <c r="BB48" s="12">
        <v>545300</v>
      </c>
      <c r="BC48" s="12">
        <v>3499300</v>
      </c>
      <c r="BD48" s="11">
        <v>15.6</v>
      </c>
      <c r="BE48" s="11">
        <v>0.6</v>
      </c>
    </row>
    <row r="49" spans="1:57" x14ac:dyDescent="0.35">
      <c r="A49" s="13" t="s">
        <v>41</v>
      </c>
      <c r="B49" s="12">
        <v>10800</v>
      </c>
      <c r="C49" s="12">
        <v>88800</v>
      </c>
      <c r="D49" s="11">
        <v>12.2</v>
      </c>
      <c r="E49" s="11">
        <v>2.2999999999999998</v>
      </c>
      <c r="F49" s="12">
        <v>24200</v>
      </c>
      <c r="G49" s="12">
        <v>204900</v>
      </c>
      <c r="H49" s="11">
        <v>11.8</v>
      </c>
      <c r="I49" s="11">
        <v>2.2000000000000002</v>
      </c>
      <c r="J49" s="12">
        <v>6900</v>
      </c>
      <c r="K49" s="12">
        <v>57300</v>
      </c>
      <c r="L49" s="11">
        <v>12.1</v>
      </c>
      <c r="M49" s="11">
        <v>3.2</v>
      </c>
      <c r="N49" s="12">
        <v>8200</v>
      </c>
      <c r="O49" s="12">
        <v>42600</v>
      </c>
      <c r="P49" s="11">
        <v>19.100000000000001</v>
      </c>
      <c r="Q49" s="11">
        <v>3.7</v>
      </c>
      <c r="R49" s="12">
        <v>6900</v>
      </c>
      <c r="S49" s="12">
        <v>38500</v>
      </c>
      <c r="T49" s="11">
        <v>17.899999999999999</v>
      </c>
      <c r="U49" s="11">
        <v>3.9</v>
      </c>
      <c r="V49" s="12">
        <v>6000</v>
      </c>
      <c r="W49" s="12">
        <v>55300</v>
      </c>
      <c r="X49" s="11">
        <v>10.8</v>
      </c>
      <c r="Y49" s="11">
        <v>3</v>
      </c>
      <c r="Z49" s="12">
        <v>11700</v>
      </c>
      <c r="AA49" s="12">
        <v>93300</v>
      </c>
      <c r="AB49" s="11">
        <v>12.5</v>
      </c>
      <c r="AC49" s="11">
        <v>2.2000000000000002</v>
      </c>
      <c r="AD49" s="12">
        <v>14900</v>
      </c>
      <c r="AE49" s="12">
        <v>137400</v>
      </c>
      <c r="AF49" s="11">
        <v>10.8</v>
      </c>
      <c r="AG49" s="11">
        <v>2.1</v>
      </c>
      <c r="AH49" s="12">
        <v>7100</v>
      </c>
      <c r="AI49" s="12">
        <v>54000</v>
      </c>
      <c r="AJ49" s="11">
        <v>13.1</v>
      </c>
      <c r="AK49" s="11">
        <v>3</v>
      </c>
      <c r="AL49" s="12">
        <v>12100</v>
      </c>
      <c r="AM49" s="12">
        <v>99000</v>
      </c>
      <c r="AN49" s="11">
        <v>12.2</v>
      </c>
      <c r="AO49" s="11">
        <v>2.4</v>
      </c>
      <c r="AP49" s="12">
        <v>5600</v>
      </c>
      <c r="AQ49" s="12">
        <v>40900</v>
      </c>
      <c r="AR49" s="11">
        <v>13.7</v>
      </c>
      <c r="AS49" s="11">
        <v>3.6</v>
      </c>
      <c r="AT49" s="12">
        <v>31900</v>
      </c>
      <c r="AU49" s="12">
        <v>224500</v>
      </c>
      <c r="AV49" s="11">
        <v>14.2</v>
      </c>
      <c r="AW49" s="11">
        <v>1.7</v>
      </c>
      <c r="AX49" s="12">
        <v>3153800</v>
      </c>
      <c r="AY49" s="12">
        <v>24143000</v>
      </c>
      <c r="AZ49" s="11">
        <v>13.1</v>
      </c>
      <c r="BA49" s="11">
        <v>0.2</v>
      </c>
      <c r="BB49" s="12">
        <v>568700</v>
      </c>
      <c r="BC49" s="12">
        <v>3543100</v>
      </c>
      <c r="BD49" s="11">
        <v>16.100000000000001</v>
      </c>
      <c r="BE49" s="11">
        <v>0.6</v>
      </c>
    </row>
    <row r="50" spans="1:57" x14ac:dyDescent="0.35">
      <c r="A50" s="13" t="s">
        <v>40</v>
      </c>
      <c r="B50" s="12">
        <v>11900</v>
      </c>
      <c r="C50" s="12">
        <v>82300</v>
      </c>
      <c r="D50" s="11">
        <v>14.4</v>
      </c>
      <c r="E50" s="11">
        <v>2.5</v>
      </c>
      <c r="F50" s="12">
        <v>19900</v>
      </c>
      <c r="G50" s="12">
        <v>210400</v>
      </c>
      <c r="H50" s="11">
        <v>9.5</v>
      </c>
      <c r="I50" s="11">
        <v>2.1</v>
      </c>
      <c r="J50" s="12">
        <v>5300</v>
      </c>
      <c r="K50" s="12">
        <v>56900</v>
      </c>
      <c r="L50" s="11">
        <v>9.3000000000000007</v>
      </c>
      <c r="M50" s="11">
        <v>4.2</v>
      </c>
      <c r="N50" s="12">
        <v>8100</v>
      </c>
      <c r="O50" s="12">
        <v>44800</v>
      </c>
      <c r="P50" s="11">
        <v>18.100000000000001</v>
      </c>
      <c r="Q50" s="11">
        <v>6.6</v>
      </c>
      <c r="R50" s="12">
        <v>7100</v>
      </c>
      <c r="S50" s="12">
        <v>39700</v>
      </c>
      <c r="T50" s="11">
        <v>17.8</v>
      </c>
      <c r="U50" s="11">
        <v>6.3</v>
      </c>
      <c r="V50" s="12">
        <v>5400</v>
      </c>
      <c r="W50" s="12">
        <v>59900</v>
      </c>
      <c r="X50" s="11">
        <v>9.1</v>
      </c>
      <c r="Y50" s="11">
        <v>4.4000000000000004</v>
      </c>
      <c r="Z50" s="12">
        <v>12200</v>
      </c>
      <c r="AA50" s="12">
        <v>99100</v>
      </c>
      <c r="AB50" s="11">
        <v>12.3</v>
      </c>
      <c r="AC50" s="11">
        <v>2.2000000000000002</v>
      </c>
      <c r="AD50" s="12">
        <v>14700</v>
      </c>
      <c r="AE50" s="12">
        <v>138100</v>
      </c>
      <c r="AF50" s="11">
        <v>10.6</v>
      </c>
      <c r="AG50" s="11">
        <v>2</v>
      </c>
      <c r="AH50" s="12">
        <v>8500</v>
      </c>
      <c r="AI50" s="12">
        <v>53100</v>
      </c>
      <c r="AJ50" s="11">
        <v>16</v>
      </c>
      <c r="AK50" s="11">
        <v>4.9000000000000004</v>
      </c>
      <c r="AL50" s="12">
        <v>12100</v>
      </c>
      <c r="AM50" s="12">
        <v>100400</v>
      </c>
      <c r="AN50" s="11">
        <v>12</v>
      </c>
      <c r="AO50" s="11">
        <v>2.2999999999999998</v>
      </c>
      <c r="AP50" s="12">
        <v>4100</v>
      </c>
      <c r="AQ50" s="12">
        <v>40300</v>
      </c>
      <c r="AR50" s="11">
        <v>10.199999999999999</v>
      </c>
      <c r="AS50" s="11">
        <v>5.6</v>
      </c>
      <c r="AT50" s="12">
        <v>31900</v>
      </c>
      <c r="AU50" s="12">
        <v>228400</v>
      </c>
      <c r="AV50" s="11">
        <v>13.9</v>
      </c>
      <c r="AW50" s="11">
        <v>2.5</v>
      </c>
      <c r="AX50" s="12">
        <v>3205000</v>
      </c>
      <c r="AY50" s="12">
        <v>24356500</v>
      </c>
      <c r="AZ50" s="11">
        <v>13.2</v>
      </c>
      <c r="BA50" s="11">
        <v>0.2</v>
      </c>
      <c r="BB50" s="12">
        <v>568100</v>
      </c>
      <c r="BC50" s="12">
        <v>3600500</v>
      </c>
      <c r="BD50" s="11">
        <v>15.8</v>
      </c>
      <c r="BE50" s="11">
        <v>0.6</v>
      </c>
    </row>
    <row r="51" spans="1:57" x14ac:dyDescent="0.35">
      <c r="A51" s="13" t="s">
        <v>39</v>
      </c>
      <c r="B51" s="12">
        <v>13700</v>
      </c>
      <c r="C51" s="12">
        <v>86100</v>
      </c>
      <c r="D51" s="11">
        <v>15.9</v>
      </c>
      <c r="E51" s="11">
        <v>2.5</v>
      </c>
      <c r="F51" s="12">
        <v>27400</v>
      </c>
      <c r="G51" s="12">
        <v>207900</v>
      </c>
      <c r="H51" s="11">
        <v>13.2</v>
      </c>
      <c r="I51" s="11">
        <v>2.2999999999999998</v>
      </c>
      <c r="J51" s="12">
        <v>4800</v>
      </c>
      <c r="K51" s="12">
        <v>60600</v>
      </c>
      <c r="L51" s="11">
        <v>7.9</v>
      </c>
      <c r="M51" s="11">
        <v>3.8</v>
      </c>
      <c r="N51" s="12">
        <v>10000</v>
      </c>
      <c r="O51" s="12">
        <v>44700</v>
      </c>
      <c r="P51" s="11">
        <v>22.3</v>
      </c>
      <c r="Q51" s="11">
        <v>7.8</v>
      </c>
      <c r="R51" s="12">
        <v>6500</v>
      </c>
      <c r="S51" s="12">
        <v>37600</v>
      </c>
      <c r="T51" s="11">
        <v>17.399999999999999</v>
      </c>
      <c r="U51" s="11">
        <v>6.8</v>
      </c>
      <c r="V51" s="12">
        <v>5100</v>
      </c>
      <c r="W51" s="12">
        <v>60600</v>
      </c>
      <c r="X51" s="11">
        <v>8.4</v>
      </c>
      <c r="Y51" s="11">
        <v>3.8</v>
      </c>
      <c r="Z51" s="12">
        <v>14200</v>
      </c>
      <c r="AA51" s="12">
        <v>101200</v>
      </c>
      <c r="AB51" s="11">
        <v>14</v>
      </c>
      <c r="AC51" s="11">
        <v>2.4</v>
      </c>
      <c r="AD51" s="12">
        <v>15300</v>
      </c>
      <c r="AE51" s="12">
        <v>137100</v>
      </c>
      <c r="AF51" s="11">
        <v>11.2</v>
      </c>
      <c r="AG51" s="11">
        <v>2.1</v>
      </c>
      <c r="AH51" s="12">
        <v>10800</v>
      </c>
      <c r="AI51" s="12">
        <v>57700</v>
      </c>
      <c r="AJ51" s="11">
        <v>18.600000000000001</v>
      </c>
      <c r="AK51" s="11">
        <v>5.4</v>
      </c>
      <c r="AL51" s="12">
        <v>10000</v>
      </c>
      <c r="AM51" s="12">
        <v>108600</v>
      </c>
      <c r="AN51" s="11">
        <v>9.1999999999999993</v>
      </c>
      <c r="AO51" s="11">
        <v>2</v>
      </c>
      <c r="AP51" s="12">
        <v>3900</v>
      </c>
      <c r="AQ51" s="12">
        <v>42500</v>
      </c>
      <c r="AR51" s="11">
        <v>9.3000000000000007</v>
      </c>
      <c r="AS51" s="11">
        <v>4.8</v>
      </c>
      <c r="AT51" s="12">
        <v>33900</v>
      </c>
      <c r="AU51" s="12">
        <v>224800</v>
      </c>
      <c r="AV51" s="11">
        <v>15.1</v>
      </c>
      <c r="AW51" s="11">
        <v>2.5</v>
      </c>
      <c r="AX51" s="12">
        <v>3269900</v>
      </c>
      <c r="AY51" s="12">
        <v>24602500</v>
      </c>
      <c r="AZ51" s="11">
        <v>13.3</v>
      </c>
      <c r="BA51" s="11">
        <v>0.2</v>
      </c>
      <c r="BB51" s="12">
        <v>584600</v>
      </c>
      <c r="BC51" s="12">
        <v>3679700</v>
      </c>
      <c r="BD51" s="11">
        <v>15.9</v>
      </c>
      <c r="BE51" s="11">
        <v>0.6</v>
      </c>
    </row>
    <row r="52" spans="1:57" x14ac:dyDescent="0.35">
      <c r="A52" s="13" t="s">
        <v>38</v>
      </c>
      <c r="B52" s="12">
        <v>12200</v>
      </c>
      <c r="C52" s="12">
        <v>88100</v>
      </c>
      <c r="D52" s="11">
        <v>13.8</v>
      </c>
      <c r="E52" s="11">
        <v>2.4</v>
      </c>
      <c r="F52" s="12">
        <v>26600</v>
      </c>
      <c r="G52" s="12">
        <v>209800</v>
      </c>
      <c r="H52" s="11">
        <v>12.7</v>
      </c>
      <c r="I52" s="11">
        <v>2.2999999999999998</v>
      </c>
      <c r="J52" s="12">
        <v>5300</v>
      </c>
      <c r="K52" s="12">
        <v>57900</v>
      </c>
      <c r="L52" s="11">
        <v>9.1999999999999993</v>
      </c>
      <c r="M52" s="11">
        <v>4.5</v>
      </c>
      <c r="N52" s="12">
        <v>6800</v>
      </c>
      <c r="O52" s="12">
        <v>44000</v>
      </c>
      <c r="P52" s="11">
        <v>15.6</v>
      </c>
      <c r="Q52" s="11">
        <v>6.6</v>
      </c>
      <c r="R52" s="12">
        <v>5400</v>
      </c>
      <c r="S52" s="12">
        <v>36800</v>
      </c>
      <c r="T52" s="11">
        <v>14.5</v>
      </c>
      <c r="U52" s="11">
        <v>6.7</v>
      </c>
      <c r="V52" s="12">
        <v>6600</v>
      </c>
      <c r="W52" s="12">
        <v>58700</v>
      </c>
      <c r="X52" s="11">
        <v>11.3</v>
      </c>
      <c r="Y52" s="11">
        <v>4.9000000000000004</v>
      </c>
      <c r="Z52" s="12">
        <v>12500</v>
      </c>
      <c r="AA52" s="12">
        <v>101000</v>
      </c>
      <c r="AB52" s="11">
        <v>12.4</v>
      </c>
      <c r="AC52" s="11">
        <v>2.2000000000000002</v>
      </c>
      <c r="AD52" s="12">
        <v>15100</v>
      </c>
      <c r="AE52" s="12">
        <v>139300</v>
      </c>
      <c r="AF52" s="11">
        <v>10.8</v>
      </c>
      <c r="AG52" s="11">
        <v>2</v>
      </c>
      <c r="AH52" s="12">
        <v>14300</v>
      </c>
      <c r="AI52" s="12">
        <v>59400</v>
      </c>
      <c r="AJ52" s="11">
        <v>24.1</v>
      </c>
      <c r="AK52" s="11">
        <v>6.2</v>
      </c>
      <c r="AL52" s="12">
        <v>8400</v>
      </c>
      <c r="AM52" s="12">
        <v>105600</v>
      </c>
      <c r="AN52" s="11">
        <v>7.9</v>
      </c>
      <c r="AO52" s="11">
        <v>1.9</v>
      </c>
      <c r="AP52" s="12">
        <v>4900</v>
      </c>
      <c r="AQ52" s="12">
        <v>42700</v>
      </c>
      <c r="AR52" s="11">
        <v>11.6</v>
      </c>
      <c r="AS52" s="11">
        <v>5.5</v>
      </c>
      <c r="AT52" s="12">
        <v>36900</v>
      </c>
      <c r="AU52" s="12">
        <v>229300</v>
      </c>
      <c r="AV52" s="11">
        <v>16.100000000000001</v>
      </c>
      <c r="AW52" s="11">
        <v>2.6</v>
      </c>
      <c r="AX52" s="12">
        <v>3236700</v>
      </c>
      <c r="AY52" s="12">
        <v>24746700</v>
      </c>
      <c r="AZ52" s="11">
        <v>13.1</v>
      </c>
      <c r="BA52" s="11">
        <v>0.2</v>
      </c>
      <c r="BB52" s="12">
        <v>571000</v>
      </c>
      <c r="BC52" s="12">
        <v>3773400</v>
      </c>
      <c r="BD52" s="11">
        <v>15.1</v>
      </c>
      <c r="BE52" s="11">
        <v>0.6</v>
      </c>
    </row>
    <row r="53" spans="1:57" x14ac:dyDescent="0.35">
      <c r="A53" s="13" t="s">
        <v>37</v>
      </c>
      <c r="B53" s="12">
        <v>12300</v>
      </c>
      <c r="C53" s="12">
        <v>84400</v>
      </c>
      <c r="D53" s="11">
        <v>14.6</v>
      </c>
      <c r="E53" s="11">
        <v>2.6</v>
      </c>
      <c r="F53" s="12">
        <v>27300</v>
      </c>
      <c r="G53" s="12">
        <v>210500</v>
      </c>
      <c r="H53" s="11">
        <v>13</v>
      </c>
      <c r="I53" s="11">
        <v>2.2999999999999998</v>
      </c>
      <c r="J53" s="12">
        <v>7300</v>
      </c>
      <c r="K53" s="12">
        <v>63700</v>
      </c>
      <c r="L53" s="11">
        <v>11.5</v>
      </c>
      <c r="M53" s="11">
        <v>4.9000000000000004</v>
      </c>
      <c r="N53" s="12">
        <v>7900</v>
      </c>
      <c r="O53" s="12">
        <v>42800</v>
      </c>
      <c r="P53" s="11">
        <v>18.3</v>
      </c>
      <c r="Q53" s="11">
        <v>6.9</v>
      </c>
      <c r="R53" s="12">
        <v>6400</v>
      </c>
      <c r="S53" s="12">
        <v>34600</v>
      </c>
      <c r="T53" s="11">
        <v>18.399999999999999</v>
      </c>
      <c r="U53" s="11">
        <v>7.5</v>
      </c>
      <c r="V53" s="12">
        <v>8400</v>
      </c>
      <c r="W53" s="12">
        <v>61200</v>
      </c>
      <c r="X53" s="11">
        <v>13.7</v>
      </c>
      <c r="Y53" s="11">
        <v>5.3</v>
      </c>
      <c r="Z53" s="12">
        <v>12800</v>
      </c>
      <c r="AA53" s="12">
        <v>96500</v>
      </c>
      <c r="AB53" s="11">
        <v>13.2</v>
      </c>
      <c r="AC53" s="11">
        <v>2.4</v>
      </c>
      <c r="AD53" s="12">
        <v>14100</v>
      </c>
      <c r="AE53" s="12">
        <v>135100</v>
      </c>
      <c r="AF53" s="11">
        <v>10.4</v>
      </c>
      <c r="AG53" s="11">
        <v>2.1</v>
      </c>
      <c r="AH53" s="12">
        <v>14200</v>
      </c>
      <c r="AI53" s="12">
        <v>55800</v>
      </c>
      <c r="AJ53" s="11">
        <v>25.4</v>
      </c>
      <c r="AK53" s="11">
        <v>6.2</v>
      </c>
      <c r="AL53" s="12">
        <v>8300</v>
      </c>
      <c r="AM53" s="12">
        <v>106300</v>
      </c>
      <c r="AN53" s="11">
        <v>7.8</v>
      </c>
      <c r="AO53" s="11">
        <v>1.9</v>
      </c>
      <c r="AP53" s="12">
        <v>4800</v>
      </c>
      <c r="AQ53" s="12">
        <v>36300</v>
      </c>
      <c r="AR53" s="11">
        <v>13.3</v>
      </c>
      <c r="AS53" s="11">
        <v>6.8</v>
      </c>
      <c r="AT53" s="12">
        <v>34300</v>
      </c>
      <c r="AU53" s="12">
        <v>238100</v>
      </c>
      <c r="AV53" s="11">
        <v>14.4</v>
      </c>
      <c r="AW53" s="11">
        <v>2.5</v>
      </c>
      <c r="AX53" s="12">
        <v>3286300</v>
      </c>
      <c r="AY53" s="12">
        <v>24412700</v>
      </c>
      <c r="AZ53" s="11">
        <v>13.5</v>
      </c>
      <c r="BA53" s="11">
        <v>0.2</v>
      </c>
      <c r="BB53" s="12">
        <v>599600</v>
      </c>
      <c r="BC53" s="12">
        <v>3779900</v>
      </c>
      <c r="BD53" s="11">
        <v>15.9</v>
      </c>
      <c r="BE53" s="11">
        <v>0.7</v>
      </c>
    </row>
    <row r="54" spans="1:57" x14ac:dyDescent="0.35">
      <c r="A54" s="13" t="s">
        <v>36</v>
      </c>
      <c r="B54" s="12">
        <v>13800</v>
      </c>
      <c r="C54" s="12">
        <v>83500</v>
      </c>
      <c r="D54" s="11">
        <v>16.5</v>
      </c>
      <c r="E54" s="11">
        <v>2.8</v>
      </c>
      <c r="F54" s="12">
        <v>19500</v>
      </c>
      <c r="G54" s="12">
        <v>217200</v>
      </c>
      <c r="H54" s="11">
        <v>9</v>
      </c>
      <c r="I54" s="11">
        <v>2</v>
      </c>
      <c r="J54" s="12">
        <v>5800</v>
      </c>
      <c r="K54" s="12">
        <v>56900</v>
      </c>
      <c r="L54" s="11">
        <v>10.1</v>
      </c>
      <c r="M54" s="11">
        <v>4.8</v>
      </c>
      <c r="N54" s="12">
        <v>6200</v>
      </c>
      <c r="O54" s="12">
        <v>39000</v>
      </c>
      <c r="P54" s="11">
        <v>15.8</v>
      </c>
      <c r="Q54" s="11">
        <v>6.9</v>
      </c>
      <c r="R54" s="12">
        <v>5800</v>
      </c>
      <c r="S54" s="12">
        <v>38400</v>
      </c>
      <c r="T54" s="11">
        <v>15.1</v>
      </c>
      <c r="U54" s="11">
        <v>6.3</v>
      </c>
      <c r="V54" s="12">
        <v>7100</v>
      </c>
      <c r="W54" s="12">
        <v>61700</v>
      </c>
      <c r="X54" s="11">
        <v>11.6</v>
      </c>
      <c r="Y54" s="11">
        <v>5</v>
      </c>
      <c r="Z54" s="12">
        <v>15100</v>
      </c>
      <c r="AA54" s="12">
        <v>98300</v>
      </c>
      <c r="AB54" s="11">
        <v>15.4</v>
      </c>
      <c r="AC54" s="11">
        <v>2.6</v>
      </c>
      <c r="AD54" s="12">
        <v>13100</v>
      </c>
      <c r="AE54" s="12">
        <v>135100</v>
      </c>
      <c r="AF54" s="11">
        <v>9.6999999999999993</v>
      </c>
      <c r="AG54" s="11">
        <v>2.1</v>
      </c>
      <c r="AH54" s="12">
        <v>14200</v>
      </c>
      <c r="AI54" s="12">
        <v>57400</v>
      </c>
      <c r="AJ54" s="11">
        <v>24.8</v>
      </c>
      <c r="AK54" s="11">
        <v>6.4</v>
      </c>
      <c r="AL54" s="12">
        <v>10900</v>
      </c>
      <c r="AM54" s="12">
        <v>105500</v>
      </c>
      <c r="AN54" s="11">
        <v>10.4</v>
      </c>
      <c r="AO54" s="11">
        <v>2.4</v>
      </c>
      <c r="AP54" s="12">
        <v>5100</v>
      </c>
      <c r="AQ54" s="12">
        <v>41600</v>
      </c>
      <c r="AR54" s="11">
        <v>12.2</v>
      </c>
      <c r="AS54" s="11">
        <v>6.4</v>
      </c>
      <c r="AT54" s="12">
        <v>32500</v>
      </c>
      <c r="AU54" s="12">
        <v>230200</v>
      </c>
      <c r="AV54" s="11">
        <v>14.1</v>
      </c>
      <c r="AW54" s="11">
        <v>2.5</v>
      </c>
      <c r="AX54" s="12">
        <v>3382400</v>
      </c>
      <c r="AY54" s="12">
        <v>24471200</v>
      </c>
      <c r="AZ54" s="11">
        <v>13.8</v>
      </c>
      <c r="BA54" s="11">
        <v>0.2</v>
      </c>
      <c r="BB54" s="12">
        <v>611400</v>
      </c>
      <c r="BC54" s="12">
        <v>3802700</v>
      </c>
      <c r="BD54" s="11">
        <v>16.100000000000001</v>
      </c>
      <c r="BE54" s="11">
        <v>0.7</v>
      </c>
    </row>
    <row r="55" spans="1:57" x14ac:dyDescent="0.35">
      <c r="A55" s="13" t="s">
        <v>35</v>
      </c>
      <c r="B55" s="12">
        <v>13500</v>
      </c>
      <c r="C55" s="12">
        <v>80600</v>
      </c>
      <c r="D55" s="11">
        <v>16.8</v>
      </c>
      <c r="E55" s="11">
        <v>3</v>
      </c>
      <c r="F55" s="12">
        <v>28100</v>
      </c>
      <c r="G55" s="12">
        <v>210900</v>
      </c>
      <c r="H55" s="11">
        <v>13.3</v>
      </c>
      <c r="I55" s="11">
        <v>2.5</v>
      </c>
      <c r="J55" s="12">
        <v>11100</v>
      </c>
      <c r="K55" s="12">
        <v>58500</v>
      </c>
      <c r="L55" s="11">
        <v>19.100000000000001</v>
      </c>
      <c r="M55" s="11">
        <v>6.9</v>
      </c>
      <c r="N55" s="12">
        <v>8300</v>
      </c>
      <c r="O55" s="12">
        <v>40300</v>
      </c>
      <c r="P55" s="11">
        <v>20.6</v>
      </c>
      <c r="Q55" s="11">
        <v>8</v>
      </c>
      <c r="R55" s="12">
        <v>8900</v>
      </c>
      <c r="S55" s="12">
        <v>43300</v>
      </c>
      <c r="T55" s="11">
        <v>20.399999999999999</v>
      </c>
      <c r="U55" s="11">
        <v>7.4</v>
      </c>
      <c r="V55" s="12">
        <v>3200</v>
      </c>
      <c r="W55" s="12">
        <v>60200</v>
      </c>
      <c r="X55" s="11">
        <v>5.3</v>
      </c>
      <c r="Y55" s="12" t="s">
        <v>21</v>
      </c>
      <c r="Z55" s="12">
        <v>15500</v>
      </c>
      <c r="AA55" s="12">
        <v>96700</v>
      </c>
      <c r="AB55" s="11">
        <v>16.100000000000001</v>
      </c>
      <c r="AC55" s="11">
        <v>2.8</v>
      </c>
      <c r="AD55" s="12">
        <v>13300</v>
      </c>
      <c r="AE55" s="12">
        <v>131700</v>
      </c>
      <c r="AF55" s="11">
        <v>10.1</v>
      </c>
      <c r="AG55" s="11">
        <v>2.2999999999999998</v>
      </c>
      <c r="AH55" s="12">
        <v>12400</v>
      </c>
      <c r="AI55" s="12">
        <v>59600</v>
      </c>
      <c r="AJ55" s="11">
        <v>20.7</v>
      </c>
      <c r="AK55" s="11">
        <v>6.3</v>
      </c>
      <c r="AL55" s="12">
        <v>11000</v>
      </c>
      <c r="AM55" s="12">
        <v>102600</v>
      </c>
      <c r="AN55" s="11">
        <v>10.7</v>
      </c>
      <c r="AO55" s="11">
        <v>2.2000000000000002</v>
      </c>
      <c r="AP55" s="12">
        <v>5100</v>
      </c>
      <c r="AQ55" s="12">
        <v>40300</v>
      </c>
      <c r="AR55" s="11">
        <v>12.6</v>
      </c>
      <c r="AS55" s="11">
        <v>6.5</v>
      </c>
      <c r="AT55" s="12">
        <v>36000</v>
      </c>
      <c r="AU55" s="12">
        <v>226800</v>
      </c>
      <c r="AV55" s="11">
        <v>15.9</v>
      </c>
      <c r="AW55" s="11">
        <v>2.8</v>
      </c>
      <c r="AX55" s="12">
        <v>3481200</v>
      </c>
      <c r="AY55" s="12">
        <v>24572000</v>
      </c>
      <c r="AZ55" s="11">
        <v>14.2</v>
      </c>
      <c r="BA55" s="11">
        <v>0.2</v>
      </c>
      <c r="BB55" s="12">
        <v>644100</v>
      </c>
      <c r="BC55" s="12">
        <v>3878900</v>
      </c>
      <c r="BD55" s="11">
        <v>16.600000000000001</v>
      </c>
      <c r="BE55" s="11">
        <v>0.7</v>
      </c>
    </row>
    <row r="56" spans="1:57" x14ac:dyDescent="0.35">
      <c r="A56" s="13" t="s">
        <v>34</v>
      </c>
      <c r="B56" s="12">
        <v>15100</v>
      </c>
      <c r="C56" s="12">
        <v>86000</v>
      </c>
      <c r="D56" s="11">
        <v>17.5</v>
      </c>
      <c r="E56" s="11">
        <v>2.7</v>
      </c>
      <c r="F56" s="12">
        <v>27700</v>
      </c>
      <c r="G56" s="12">
        <v>211500</v>
      </c>
      <c r="H56" s="11">
        <v>13.1</v>
      </c>
      <c r="I56" s="11">
        <v>2.7</v>
      </c>
      <c r="J56" s="12">
        <v>8300</v>
      </c>
      <c r="K56" s="12">
        <v>56200</v>
      </c>
      <c r="L56" s="11">
        <v>14.9</v>
      </c>
      <c r="M56" s="11">
        <v>5.7</v>
      </c>
      <c r="N56" s="12">
        <v>9400</v>
      </c>
      <c r="O56" s="12">
        <v>37700</v>
      </c>
      <c r="P56" s="11">
        <v>24.9</v>
      </c>
      <c r="Q56" s="11">
        <v>8.8000000000000007</v>
      </c>
      <c r="R56" s="12">
        <v>7600</v>
      </c>
      <c r="S56" s="12">
        <v>39300</v>
      </c>
      <c r="T56" s="11">
        <v>19.3</v>
      </c>
      <c r="U56" s="11">
        <v>7.3</v>
      </c>
      <c r="V56" s="12">
        <v>4000</v>
      </c>
      <c r="W56" s="12">
        <v>62600</v>
      </c>
      <c r="X56" s="11">
        <v>6.4</v>
      </c>
      <c r="Y56" s="11">
        <v>3.8</v>
      </c>
      <c r="Z56" s="12">
        <v>12900</v>
      </c>
      <c r="AA56" s="12">
        <v>91600</v>
      </c>
      <c r="AB56" s="11">
        <v>14.1</v>
      </c>
      <c r="AC56" s="11">
        <v>2.7</v>
      </c>
      <c r="AD56" s="12">
        <v>14400</v>
      </c>
      <c r="AE56" s="12">
        <v>136000</v>
      </c>
      <c r="AF56" s="11">
        <v>10.6</v>
      </c>
      <c r="AG56" s="11">
        <v>2.2999999999999998</v>
      </c>
      <c r="AH56" s="12">
        <v>14200</v>
      </c>
      <c r="AI56" s="12">
        <v>62800</v>
      </c>
      <c r="AJ56" s="11">
        <v>22.6</v>
      </c>
      <c r="AK56" s="11">
        <v>6.2</v>
      </c>
      <c r="AL56" s="12">
        <v>12300</v>
      </c>
      <c r="AM56" s="12">
        <v>103400</v>
      </c>
      <c r="AN56" s="11">
        <v>11.9</v>
      </c>
      <c r="AO56" s="11">
        <v>2.5</v>
      </c>
      <c r="AP56" s="12">
        <v>5300</v>
      </c>
      <c r="AQ56" s="12">
        <v>42100</v>
      </c>
      <c r="AR56" s="11">
        <v>12.5</v>
      </c>
      <c r="AS56" s="11">
        <v>5.6</v>
      </c>
      <c r="AT56" s="12">
        <v>32400</v>
      </c>
      <c r="AU56" s="12">
        <v>223700</v>
      </c>
      <c r="AV56" s="11">
        <v>14.5</v>
      </c>
      <c r="AW56" s="11">
        <v>2.5</v>
      </c>
      <c r="AX56" s="12">
        <v>3621800</v>
      </c>
      <c r="AY56" s="12">
        <v>24848200</v>
      </c>
      <c r="AZ56" s="11">
        <v>14.6</v>
      </c>
      <c r="BA56" s="11">
        <v>0.2</v>
      </c>
      <c r="BB56" s="12">
        <v>707700</v>
      </c>
      <c r="BC56" s="12">
        <v>3969300</v>
      </c>
      <c r="BD56" s="11">
        <v>17.8</v>
      </c>
      <c r="BE56" s="11">
        <v>0.7</v>
      </c>
    </row>
    <row r="57" spans="1:57" x14ac:dyDescent="0.35">
      <c r="A57" s="13" t="s">
        <v>33</v>
      </c>
      <c r="B57" s="12">
        <v>16300</v>
      </c>
      <c r="C57" s="12">
        <v>86500</v>
      </c>
      <c r="D57" s="11">
        <v>18.8</v>
      </c>
      <c r="E57" s="11">
        <v>2.6</v>
      </c>
      <c r="F57" s="12">
        <v>30700</v>
      </c>
      <c r="G57" s="12">
        <v>211500</v>
      </c>
      <c r="H57" s="11">
        <v>14.5</v>
      </c>
      <c r="I57" s="11">
        <v>2.7</v>
      </c>
      <c r="J57" s="12">
        <v>5300</v>
      </c>
      <c r="K57" s="12">
        <v>59000</v>
      </c>
      <c r="L57" s="11">
        <v>8.9</v>
      </c>
      <c r="M57" s="11">
        <v>4.5999999999999996</v>
      </c>
      <c r="N57" s="12">
        <v>10800</v>
      </c>
      <c r="O57" s="12">
        <v>43200</v>
      </c>
      <c r="P57" s="11">
        <v>25.1</v>
      </c>
      <c r="Q57" s="11">
        <v>7.6</v>
      </c>
      <c r="R57" s="12">
        <v>6400</v>
      </c>
      <c r="S57" s="12">
        <v>37200</v>
      </c>
      <c r="T57" s="11">
        <v>17.3</v>
      </c>
      <c r="U57" s="11">
        <v>7.1</v>
      </c>
      <c r="V57" s="12">
        <v>3700</v>
      </c>
      <c r="W57" s="12">
        <v>62300</v>
      </c>
      <c r="X57" s="11">
        <v>6</v>
      </c>
      <c r="Y57" s="12" t="s">
        <v>21</v>
      </c>
      <c r="Z57" s="12">
        <v>10400</v>
      </c>
      <c r="AA57" s="12">
        <v>95300</v>
      </c>
      <c r="AB57" s="11">
        <v>11</v>
      </c>
      <c r="AC57" s="11">
        <v>2.4</v>
      </c>
      <c r="AD57" s="12">
        <v>14300</v>
      </c>
      <c r="AE57" s="12">
        <v>135900</v>
      </c>
      <c r="AF57" s="11">
        <v>10.5</v>
      </c>
      <c r="AG57" s="11">
        <v>2.2999999999999998</v>
      </c>
      <c r="AH57" s="12">
        <v>13100</v>
      </c>
      <c r="AI57" s="12">
        <v>58800</v>
      </c>
      <c r="AJ57" s="11">
        <v>22.2</v>
      </c>
      <c r="AK57" s="11">
        <v>6.5</v>
      </c>
      <c r="AL57" s="12">
        <v>13900</v>
      </c>
      <c r="AM57" s="12">
        <v>107600</v>
      </c>
      <c r="AN57" s="11">
        <v>13</v>
      </c>
      <c r="AO57" s="11">
        <v>2.6</v>
      </c>
      <c r="AP57" s="12">
        <v>5100</v>
      </c>
      <c r="AQ57" s="12">
        <v>40200</v>
      </c>
      <c r="AR57" s="11">
        <v>12.8</v>
      </c>
      <c r="AS57" s="11">
        <v>6.2</v>
      </c>
      <c r="AT57" s="12">
        <v>40300</v>
      </c>
      <c r="AU57" s="12">
        <v>227200</v>
      </c>
      <c r="AV57" s="11">
        <v>17.7</v>
      </c>
      <c r="AW57" s="11">
        <v>2.6</v>
      </c>
      <c r="AX57" s="12">
        <v>3708700</v>
      </c>
      <c r="AY57" s="12">
        <v>25212200</v>
      </c>
      <c r="AZ57" s="11">
        <v>14.7</v>
      </c>
      <c r="BA57" s="11">
        <v>0.2</v>
      </c>
      <c r="BB57" s="12">
        <v>702000</v>
      </c>
      <c r="BC57" s="12">
        <v>4080900</v>
      </c>
      <c r="BD57" s="11">
        <v>17.2</v>
      </c>
      <c r="BE57" s="11">
        <v>0.7</v>
      </c>
    </row>
    <row r="58" spans="1:57" x14ac:dyDescent="0.35">
      <c r="A58" s="13" t="s">
        <v>32</v>
      </c>
      <c r="B58" s="12">
        <v>18200</v>
      </c>
      <c r="C58" s="12">
        <v>87700</v>
      </c>
      <c r="D58" s="11">
        <v>20.8</v>
      </c>
      <c r="E58" s="11">
        <v>2.6</v>
      </c>
      <c r="F58" s="12">
        <v>35600</v>
      </c>
      <c r="G58" s="12">
        <v>220400</v>
      </c>
      <c r="H58" s="11">
        <v>16.2</v>
      </c>
      <c r="I58" s="11">
        <v>2.8</v>
      </c>
      <c r="J58" s="12">
        <v>6000</v>
      </c>
      <c r="K58" s="12">
        <v>58600</v>
      </c>
      <c r="L58" s="11">
        <v>10.3</v>
      </c>
      <c r="M58" s="11">
        <v>5</v>
      </c>
      <c r="N58" s="12">
        <v>12500</v>
      </c>
      <c r="O58" s="12">
        <v>44200</v>
      </c>
      <c r="P58" s="11">
        <v>28.1</v>
      </c>
      <c r="Q58" s="11">
        <v>8</v>
      </c>
      <c r="R58" s="12">
        <v>7700</v>
      </c>
      <c r="S58" s="12">
        <v>41800</v>
      </c>
      <c r="T58" s="11">
        <v>18.399999999999999</v>
      </c>
      <c r="U58" s="11">
        <v>7.3</v>
      </c>
      <c r="V58" s="12">
        <v>6000</v>
      </c>
      <c r="W58" s="12">
        <v>59100</v>
      </c>
      <c r="X58" s="11">
        <v>10.199999999999999</v>
      </c>
      <c r="Y58" s="11">
        <v>5</v>
      </c>
      <c r="Z58" s="12">
        <v>10000</v>
      </c>
      <c r="AA58" s="12">
        <v>94600</v>
      </c>
      <c r="AB58" s="11">
        <v>10.5</v>
      </c>
      <c r="AC58" s="11">
        <v>2.4</v>
      </c>
      <c r="AD58" s="12">
        <v>14900</v>
      </c>
      <c r="AE58" s="12">
        <v>143000</v>
      </c>
      <c r="AF58" s="11">
        <v>10.4</v>
      </c>
      <c r="AG58" s="11">
        <v>2.2999999999999998</v>
      </c>
      <c r="AH58" s="12">
        <v>16000</v>
      </c>
      <c r="AI58" s="12">
        <v>61500</v>
      </c>
      <c r="AJ58" s="11">
        <v>26</v>
      </c>
      <c r="AK58" s="11">
        <v>6.9</v>
      </c>
      <c r="AL58" s="12">
        <v>13300</v>
      </c>
      <c r="AM58" s="12">
        <v>111900</v>
      </c>
      <c r="AN58" s="11">
        <v>11.8</v>
      </c>
      <c r="AO58" s="11">
        <v>2.2000000000000002</v>
      </c>
      <c r="AP58" s="12">
        <v>5400</v>
      </c>
      <c r="AQ58" s="12">
        <v>43600</v>
      </c>
      <c r="AR58" s="11">
        <v>12.5</v>
      </c>
      <c r="AS58" s="11">
        <v>5.6</v>
      </c>
      <c r="AT58" s="12">
        <v>38800</v>
      </c>
      <c r="AU58" s="12">
        <v>237500</v>
      </c>
      <c r="AV58" s="11">
        <v>16.3</v>
      </c>
      <c r="AW58" s="11">
        <v>2.4</v>
      </c>
      <c r="AX58" s="12">
        <v>3881800</v>
      </c>
      <c r="AY58" s="12">
        <v>25728800</v>
      </c>
      <c r="AZ58" s="11">
        <v>15.1</v>
      </c>
      <c r="BA58" s="11">
        <v>0.2</v>
      </c>
      <c r="BB58" s="12">
        <v>791800</v>
      </c>
      <c r="BC58" s="12">
        <v>4243200</v>
      </c>
      <c r="BD58" s="11">
        <v>18.7</v>
      </c>
      <c r="BE58" s="11">
        <v>0.7</v>
      </c>
    </row>
    <row r="59" spans="1:57" x14ac:dyDescent="0.35">
      <c r="A59" s="13" t="s">
        <v>31</v>
      </c>
      <c r="B59" s="12">
        <v>16500</v>
      </c>
      <c r="C59" s="12">
        <v>93000</v>
      </c>
      <c r="D59" s="11">
        <v>17.8</v>
      </c>
      <c r="E59" s="11">
        <v>2.4</v>
      </c>
      <c r="F59" s="12">
        <v>32000</v>
      </c>
      <c r="G59" s="12">
        <v>239600</v>
      </c>
      <c r="H59" s="11">
        <v>13.4</v>
      </c>
      <c r="I59" s="11">
        <v>2.5</v>
      </c>
      <c r="J59" s="12">
        <v>9100</v>
      </c>
      <c r="K59" s="12">
        <v>55500</v>
      </c>
      <c r="L59" s="11">
        <v>16.5</v>
      </c>
      <c r="M59" s="11">
        <v>6</v>
      </c>
      <c r="N59" s="12">
        <v>12900</v>
      </c>
      <c r="O59" s="12">
        <v>43600</v>
      </c>
      <c r="P59" s="11">
        <v>29.5</v>
      </c>
      <c r="Q59" s="11">
        <v>8.6</v>
      </c>
      <c r="R59" s="12">
        <v>8000</v>
      </c>
      <c r="S59" s="12">
        <v>42700</v>
      </c>
      <c r="T59" s="11">
        <v>18.8</v>
      </c>
      <c r="U59" s="11">
        <v>6.8</v>
      </c>
      <c r="V59" s="12">
        <v>4800</v>
      </c>
      <c r="W59" s="12">
        <v>63200</v>
      </c>
      <c r="X59" s="11">
        <v>7.6</v>
      </c>
      <c r="Y59" s="11">
        <v>4</v>
      </c>
      <c r="Z59" s="12">
        <v>13600</v>
      </c>
      <c r="AA59" s="12">
        <v>99900</v>
      </c>
      <c r="AB59" s="11">
        <v>13.6</v>
      </c>
      <c r="AC59" s="11">
        <v>2.7</v>
      </c>
      <c r="AD59" s="12">
        <v>17400</v>
      </c>
      <c r="AE59" s="12">
        <v>141000</v>
      </c>
      <c r="AF59" s="11">
        <v>12.4</v>
      </c>
      <c r="AG59" s="11">
        <v>2.4</v>
      </c>
      <c r="AH59" s="12">
        <v>13400</v>
      </c>
      <c r="AI59" s="12">
        <v>63000</v>
      </c>
      <c r="AJ59" s="11">
        <v>21.3</v>
      </c>
      <c r="AK59" s="11">
        <v>6.2</v>
      </c>
      <c r="AL59" s="12">
        <v>13000</v>
      </c>
      <c r="AM59" s="12">
        <v>111400</v>
      </c>
      <c r="AN59" s="11">
        <v>11.7</v>
      </c>
      <c r="AO59" s="11">
        <v>2.2000000000000002</v>
      </c>
      <c r="AP59" s="12">
        <v>5900</v>
      </c>
      <c r="AQ59" s="12">
        <v>44300</v>
      </c>
      <c r="AR59" s="11">
        <v>13.4</v>
      </c>
      <c r="AS59" s="11">
        <v>6.1</v>
      </c>
      <c r="AT59" s="12">
        <v>39500</v>
      </c>
      <c r="AU59" s="12">
        <v>243600</v>
      </c>
      <c r="AV59" s="11">
        <v>16.2</v>
      </c>
      <c r="AW59" s="11">
        <v>2.2999999999999998</v>
      </c>
      <c r="AX59" s="12">
        <v>3990600</v>
      </c>
      <c r="AY59" s="12">
        <v>26358400</v>
      </c>
      <c r="AZ59" s="11">
        <v>15.1</v>
      </c>
      <c r="BA59" s="11">
        <v>0.2</v>
      </c>
      <c r="BB59" s="12">
        <v>799100</v>
      </c>
      <c r="BC59" s="12">
        <v>4400600</v>
      </c>
      <c r="BD59" s="11">
        <v>18.2</v>
      </c>
      <c r="BE59" s="11">
        <v>0.7</v>
      </c>
    </row>
    <row r="60" spans="1:57" x14ac:dyDescent="0.35">
      <c r="A60" s="13" t="s">
        <v>30</v>
      </c>
      <c r="B60" s="12">
        <v>17200</v>
      </c>
      <c r="C60" s="12">
        <v>95200</v>
      </c>
      <c r="D60" s="11">
        <v>18.100000000000001</v>
      </c>
      <c r="E60" s="11">
        <v>2.5</v>
      </c>
      <c r="F60" s="12">
        <v>39100</v>
      </c>
      <c r="G60" s="12">
        <v>239300</v>
      </c>
      <c r="H60" s="11">
        <v>16.3</v>
      </c>
      <c r="I60" s="11">
        <v>2.8</v>
      </c>
      <c r="J60" s="12">
        <v>6500</v>
      </c>
      <c r="K60" s="12">
        <v>57500</v>
      </c>
      <c r="L60" s="11">
        <v>11.4</v>
      </c>
      <c r="M60" s="11">
        <v>5</v>
      </c>
      <c r="N60" s="12">
        <v>12200</v>
      </c>
      <c r="O60" s="12">
        <v>45900</v>
      </c>
      <c r="P60" s="11">
        <v>26.5</v>
      </c>
      <c r="Q60" s="11">
        <v>9.3000000000000007</v>
      </c>
      <c r="R60" s="12">
        <v>7300</v>
      </c>
      <c r="S60" s="12">
        <v>39500</v>
      </c>
      <c r="T60" s="11">
        <v>18.5</v>
      </c>
      <c r="U60" s="11">
        <v>6.7</v>
      </c>
      <c r="V60" s="12">
        <v>2500</v>
      </c>
      <c r="W60" s="12">
        <v>67800</v>
      </c>
      <c r="X60" s="11">
        <v>3.7</v>
      </c>
      <c r="Y60" s="12" t="s">
        <v>21</v>
      </c>
      <c r="Z60" s="12">
        <v>17800</v>
      </c>
      <c r="AA60" s="12">
        <v>104000</v>
      </c>
      <c r="AB60" s="11">
        <v>17.100000000000001</v>
      </c>
      <c r="AC60" s="11">
        <v>2.9</v>
      </c>
      <c r="AD60" s="12">
        <v>15500</v>
      </c>
      <c r="AE60" s="12">
        <v>139700</v>
      </c>
      <c r="AF60" s="11">
        <v>11.1</v>
      </c>
      <c r="AG60" s="11">
        <v>2.5</v>
      </c>
      <c r="AH60" s="12">
        <v>12400</v>
      </c>
      <c r="AI60" s="12">
        <v>67200</v>
      </c>
      <c r="AJ60" s="11">
        <v>18.5</v>
      </c>
      <c r="AK60" s="11">
        <v>6</v>
      </c>
      <c r="AL60" s="12">
        <v>15000</v>
      </c>
      <c r="AM60" s="12">
        <v>114900</v>
      </c>
      <c r="AN60" s="11">
        <v>13</v>
      </c>
      <c r="AO60" s="11">
        <v>2.4</v>
      </c>
      <c r="AP60" s="12">
        <v>7100</v>
      </c>
      <c r="AQ60" s="12">
        <v>42300</v>
      </c>
      <c r="AR60" s="11">
        <v>16.7</v>
      </c>
      <c r="AS60" s="11">
        <v>6.6</v>
      </c>
      <c r="AT60" s="12">
        <v>42200</v>
      </c>
      <c r="AU60" s="12">
        <v>247900</v>
      </c>
      <c r="AV60" s="11">
        <v>17</v>
      </c>
      <c r="AW60" s="11">
        <v>2.5</v>
      </c>
      <c r="AX60" s="12">
        <v>4141700</v>
      </c>
      <c r="AY60" s="12">
        <v>26649200</v>
      </c>
      <c r="AZ60" s="11">
        <v>15.5</v>
      </c>
      <c r="BA60" s="11">
        <v>0.2</v>
      </c>
      <c r="BB60" s="12">
        <v>855300</v>
      </c>
      <c r="BC60" s="12">
        <v>4491700</v>
      </c>
      <c r="BD60" s="11">
        <v>19</v>
      </c>
      <c r="BE60" s="11">
        <v>0.7</v>
      </c>
    </row>
    <row r="61" spans="1:57" x14ac:dyDescent="0.35">
      <c r="A61" s="13" t="s">
        <v>29</v>
      </c>
      <c r="B61" s="12">
        <v>16500</v>
      </c>
      <c r="C61" s="12">
        <v>97100</v>
      </c>
      <c r="D61" s="11">
        <v>17</v>
      </c>
      <c r="E61" s="11">
        <v>2.5</v>
      </c>
      <c r="F61" s="12">
        <v>38300</v>
      </c>
      <c r="G61" s="12">
        <v>251400</v>
      </c>
      <c r="H61" s="11">
        <v>15.2</v>
      </c>
      <c r="I61" s="11">
        <v>2.6</v>
      </c>
      <c r="J61" s="12">
        <v>10300</v>
      </c>
      <c r="K61" s="12">
        <v>63400</v>
      </c>
      <c r="L61" s="11">
        <v>16.2</v>
      </c>
      <c r="M61" s="11">
        <v>5.8</v>
      </c>
      <c r="N61" s="12">
        <v>9200</v>
      </c>
      <c r="O61" s="12">
        <v>46300</v>
      </c>
      <c r="P61" s="11">
        <v>19.899999999999999</v>
      </c>
      <c r="Q61" s="11">
        <v>7.5</v>
      </c>
      <c r="R61" s="12">
        <v>4400</v>
      </c>
      <c r="S61" s="12">
        <v>39000</v>
      </c>
      <c r="T61" s="11">
        <v>11.4</v>
      </c>
      <c r="U61" s="11">
        <v>5.6</v>
      </c>
      <c r="V61" s="12">
        <v>5400</v>
      </c>
      <c r="W61" s="12">
        <v>64700</v>
      </c>
      <c r="X61" s="11">
        <v>8.3000000000000007</v>
      </c>
      <c r="Y61" s="11">
        <v>4.2</v>
      </c>
      <c r="Z61" s="12">
        <v>17300</v>
      </c>
      <c r="AA61" s="12">
        <v>103300</v>
      </c>
      <c r="AB61" s="11">
        <v>16.7</v>
      </c>
      <c r="AC61" s="11">
        <v>2.9</v>
      </c>
      <c r="AD61" s="12">
        <v>14400</v>
      </c>
      <c r="AE61" s="12">
        <v>142000</v>
      </c>
      <c r="AF61" s="11">
        <v>10.199999999999999</v>
      </c>
      <c r="AG61" s="11">
        <v>2.2000000000000002</v>
      </c>
      <c r="AH61" s="12">
        <v>10800</v>
      </c>
      <c r="AI61" s="12">
        <v>61300</v>
      </c>
      <c r="AJ61" s="11">
        <v>17.7</v>
      </c>
      <c r="AK61" s="11">
        <v>5.5</v>
      </c>
      <c r="AL61" s="12">
        <v>11800</v>
      </c>
      <c r="AM61" s="12">
        <v>113500</v>
      </c>
      <c r="AN61" s="11">
        <v>10.4</v>
      </c>
      <c r="AO61" s="11">
        <v>2.1</v>
      </c>
      <c r="AP61" s="12">
        <v>7700</v>
      </c>
      <c r="AQ61" s="12">
        <v>46500</v>
      </c>
      <c r="AR61" s="11">
        <v>16.600000000000001</v>
      </c>
      <c r="AS61" s="11">
        <v>6</v>
      </c>
      <c r="AT61" s="12">
        <v>43500</v>
      </c>
      <c r="AU61" s="12">
        <v>252500</v>
      </c>
      <c r="AV61" s="11">
        <v>17.2</v>
      </c>
      <c r="AW61" s="11">
        <v>2.5</v>
      </c>
      <c r="AX61" s="12">
        <v>4184200</v>
      </c>
      <c r="AY61" s="12">
        <v>27026400</v>
      </c>
      <c r="AZ61" s="11">
        <v>15.5</v>
      </c>
      <c r="BA61" s="11">
        <v>0.2</v>
      </c>
      <c r="BB61" s="12">
        <v>871100</v>
      </c>
      <c r="BC61" s="12">
        <v>4532200</v>
      </c>
      <c r="BD61" s="11">
        <v>19.2</v>
      </c>
      <c r="BE61" s="11">
        <v>0.7</v>
      </c>
    </row>
    <row r="62" spans="1:57" x14ac:dyDescent="0.35">
      <c r="A62" s="13" t="s">
        <v>28</v>
      </c>
      <c r="B62" s="12">
        <v>15000</v>
      </c>
      <c r="C62" s="12">
        <v>99700</v>
      </c>
      <c r="D62" s="11">
        <v>15</v>
      </c>
      <c r="E62" s="11">
        <v>2.5</v>
      </c>
      <c r="F62" s="12">
        <v>33800</v>
      </c>
      <c r="G62" s="12">
        <v>250700</v>
      </c>
      <c r="H62" s="11">
        <v>13.5</v>
      </c>
      <c r="I62" s="11">
        <v>2.4</v>
      </c>
      <c r="J62" s="12">
        <v>8600</v>
      </c>
      <c r="K62" s="12">
        <v>62200</v>
      </c>
      <c r="L62" s="11">
        <v>13.8</v>
      </c>
      <c r="M62" s="11">
        <v>5.3</v>
      </c>
      <c r="N62" s="12">
        <v>10700</v>
      </c>
      <c r="O62" s="12">
        <v>41200</v>
      </c>
      <c r="P62" s="11">
        <v>26.1</v>
      </c>
      <c r="Q62" s="11">
        <v>9.1999999999999993</v>
      </c>
      <c r="R62" s="12">
        <v>8700</v>
      </c>
      <c r="S62" s="12">
        <v>43500</v>
      </c>
      <c r="T62" s="11">
        <v>19.899999999999999</v>
      </c>
      <c r="U62" s="11">
        <v>7.9</v>
      </c>
      <c r="V62" s="12">
        <v>9300</v>
      </c>
      <c r="W62" s="12">
        <v>67700</v>
      </c>
      <c r="X62" s="11">
        <v>13.8</v>
      </c>
      <c r="Y62" s="11">
        <v>5.3</v>
      </c>
      <c r="Z62" s="12">
        <v>15800</v>
      </c>
      <c r="AA62" s="12">
        <v>104000</v>
      </c>
      <c r="AB62" s="11">
        <v>15.2</v>
      </c>
      <c r="AC62" s="11">
        <v>2.7</v>
      </c>
      <c r="AD62" s="12">
        <v>17200</v>
      </c>
      <c r="AE62" s="12">
        <v>146900</v>
      </c>
      <c r="AF62" s="11">
        <v>11.7</v>
      </c>
      <c r="AG62" s="11">
        <v>2.2999999999999998</v>
      </c>
      <c r="AH62" s="12">
        <v>12700</v>
      </c>
      <c r="AI62" s="12">
        <v>65300</v>
      </c>
      <c r="AJ62" s="11">
        <v>19.5</v>
      </c>
      <c r="AK62" s="11">
        <v>6.4</v>
      </c>
      <c r="AL62" s="12">
        <v>11800</v>
      </c>
      <c r="AM62" s="12">
        <v>112600</v>
      </c>
      <c r="AN62" s="11">
        <v>10.5</v>
      </c>
      <c r="AO62" s="11">
        <v>2.2000000000000002</v>
      </c>
      <c r="AP62" s="12">
        <v>8600</v>
      </c>
      <c r="AQ62" s="12">
        <v>47100</v>
      </c>
      <c r="AR62" s="11">
        <v>18.2</v>
      </c>
      <c r="AS62" s="11">
        <v>6.2</v>
      </c>
      <c r="AT62" s="12">
        <v>40200</v>
      </c>
      <c r="AU62" s="12">
        <v>247400</v>
      </c>
      <c r="AV62" s="11">
        <v>16.3</v>
      </c>
      <c r="AW62" s="11">
        <v>2.6</v>
      </c>
      <c r="AX62" s="12">
        <v>4186400</v>
      </c>
      <c r="AY62" s="12">
        <v>27223500</v>
      </c>
      <c r="AZ62" s="11">
        <v>15.4</v>
      </c>
      <c r="BA62" s="11">
        <v>0.2</v>
      </c>
      <c r="BB62" s="12">
        <v>869000</v>
      </c>
      <c r="BC62" s="12">
        <v>4619700</v>
      </c>
      <c r="BD62" s="11">
        <v>18.8</v>
      </c>
      <c r="BE62" s="11">
        <v>0.7</v>
      </c>
    </row>
    <row r="63" spans="1:57" x14ac:dyDescent="0.35">
      <c r="A63" s="13" t="s">
        <v>27</v>
      </c>
      <c r="B63" s="12">
        <v>17600</v>
      </c>
      <c r="C63" s="12">
        <v>98500</v>
      </c>
      <c r="D63" s="11">
        <v>17.8</v>
      </c>
      <c r="E63" s="11">
        <v>2.8</v>
      </c>
      <c r="F63" s="12">
        <v>32200</v>
      </c>
      <c r="G63" s="12">
        <v>251600</v>
      </c>
      <c r="H63" s="11">
        <v>12.8</v>
      </c>
      <c r="I63" s="11">
        <v>2.2999999999999998</v>
      </c>
      <c r="J63" s="12">
        <v>12300</v>
      </c>
      <c r="K63" s="12">
        <v>63600</v>
      </c>
      <c r="L63" s="11">
        <v>19.3</v>
      </c>
      <c r="M63" s="11">
        <v>6.3</v>
      </c>
      <c r="N63" s="12">
        <v>10400</v>
      </c>
      <c r="O63" s="12">
        <v>44100</v>
      </c>
      <c r="P63" s="11">
        <v>23.5</v>
      </c>
      <c r="Q63" s="11">
        <v>7.9</v>
      </c>
      <c r="R63" s="12">
        <v>6600</v>
      </c>
      <c r="S63" s="12">
        <v>41900</v>
      </c>
      <c r="T63" s="11">
        <v>15.7</v>
      </c>
      <c r="U63" s="11">
        <v>7.1</v>
      </c>
      <c r="V63" s="12">
        <v>8700</v>
      </c>
      <c r="W63" s="12">
        <v>70200</v>
      </c>
      <c r="X63" s="11">
        <v>12.3</v>
      </c>
      <c r="Y63" s="11">
        <v>4.9000000000000004</v>
      </c>
      <c r="Z63" s="12">
        <v>18100</v>
      </c>
      <c r="AA63" s="12">
        <v>104400</v>
      </c>
      <c r="AB63" s="11">
        <v>17.3</v>
      </c>
      <c r="AC63" s="11">
        <v>2.8</v>
      </c>
      <c r="AD63" s="12">
        <v>24000</v>
      </c>
      <c r="AE63" s="12">
        <v>148000</v>
      </c>
      <c r="AF63" s="11">
        <v>16.2</v>
      </c>
      <c r="AG63" s="11">
        <v>2.7</v>
      </c>
      <c r="AH63" s="12">
        <v>9100</v>
      </c>
      <c r="AI63" s="12">
        <v>64100</v>
      </c>
      <c r="AJ63" s="11">
        <v>14.1</v>
      </c>
      <c r="AK63" s="11">
        <v>5.6</v>
      </c>
      <c r="AL63" s="12">
        <v>11500</v>
      </c>
      <c r="AM63" s="12">
        <v>114800</v>
      </c>
      <c r="AN63" s="11">
        <v>10</v>
      </c>
      <c r="AO63" s="11">
        <v>2.1</v>
      </c>
      <c r="AP63" s="12">
        <v>8000</v>
      </c>
      <c r="AQ63" s="12">
        <v>44000</v>
      </c>
      <c r="AR63" s="11">
        <v>18.3</v>
      </c>
      <c r="AS63" s="11">
        <v>6.6</v>
      </c>
      <c r="AT63" s="12">
        <v>46300</v>
      </c>
      <c r="AU63" s="12">
        <v>244800</v>
      </c>
      <c r="AV63" s="11">
        <v>18.899999999999999</v>
      </c>
      <c r="AW63" s="11">
        <v>2.9</v>
      </c>
      <c r="AX63" s="12">
        <v>4295900</v>
      </c>
      <c r="AY63" s="12">
        <v>27555100</v>
      </c>
      <c r="AZ63" s="11">
        <v>15.6</v>
      </c>
      <c r="BA63" s="11">
        <v>0.2</v>
      </c>
      <c r="BB63" s="12">
        <v>862200</v>
      </c>
      <c r="BC63" s="12">
        <v>4669200</v>
      </c>
      <c r="BD63" s="11">
        <v>18.5</v>
      </c>
      <c r="BE63" s="11">
        <v>0.8</v>
      </c>
    </row>
    <row r="64" spans="1:57" x14ac:dyDescent="0.35">
      <c r="A64" s="13" t="s">
        <v>26</v>
      </c>
      <c r="B64" s="12">
        <v>19000</v>
      </c>
      <c r="C64" s="12">
        <v>103500</v>
      </c>
      <c r="D64" s="11">
        <v>18.399999999999999</v>
      </c>
      <c r="E64" s="11">
        <v>3.2</v>
      </c>
      <c r="F64" s="12">
        <v>27900</v>
      </c>
      <c r="G64" s="12">
        <v>254300</v>
      </c>
      <c r="H64" s="11">
        <v>11</v>
      </c>
      <c r="I64" s="11">
        <v>2.5</v>
      </c>
      <c r="J64" s="12">
        <v>10300</v>
      </c>
      <c r="K64" s="12">
        <v>57200</v>
      </c>
      <c r="L64" s="11">
        <v>18</v>
      </c>
      <c r="M64" s="11">
        <v>6.4</v>
      </c>
      <c r="N64" s="12">
        <v>8800</v>
      </c>
      <c r="O64" s="12">
        <v>43300</v>
      </c>
      <c r="P64" s="11">
        <v>20.399999999999999</v>
      </c>
      <c r="Q64" s="11">
        <v>7.7</v>
      </c>
      <c r="R64" s="12">
        <v>4300</v>
      </c>
      <c r="S64" s="12">
        <v>43500</v>
      </c>
      <c r="T64" s="11">
        <v>9.9</v>
      </c>
      <c r="U64" s="11">
        <v>5.6</v>
      </c>
      <c r="V64" s="12">
        <v>6400</v>
      </c>
      <c r="W64" s="12">
        <v>65500</v>
      </c>
      <c r="X64" s="11">
        <v>9.6999999999999993</v>
      </c>
      <c r="Y64" s="11">
        <v>5.3</v>
      </c>
      <c r="Z64" s="12">
        <v>16700</v>
      </c>
      <c r="AA64" s="12">
        <v>105800</v>
      </c>
      <c r="AB64" s="11">
        <v>15.8</v>
      </c>
      <c r="AC64" s="11">
        <v>2.9</v>
      </c>
      <c r="AD64" s="12">
        <v>16400</v>
      </c>
      <c r="AE64" s="12">
        <v>148600</v>
      </c>
      <c r="AF64" s="11">
        <v>11</v>
      </c>
      <c r="AG64" s="11">
        <v>2.6</v>
      </c>
      <c r="AH64" s="12">
        <v>7900</v>
      </c>
      <c r="AI64" s="12">
        <v>62600</v>
      </c>
      <c r="AJ64" s="11">
        <v>12.7</v>
      </c>
      <c r="AK64" s="11">
        <v>5.2</v>
      </c>
      <c r="AL64" s="12">
        <v>11300</v>
      </c>
      <c r="AM64" s="12">
        <v>113400</v>
      </c>
      <c r="AN64" s="11">
        <v>10</v>
      </c>
      <c r="AO64" s="11">
        <v>2.5</v>
      </c>
      <c r="AP64" s="12">
        <v>4700</v>
      </c>
      <c r="AQ64" s="12">
        <v>47100</v>
      </c>
      <c r="AR64" s="11">
        <v>10.1</v>
      </c>
      <c r="AS64" s="11">
        <v>5.4</v>
      </c>
      <c r="AT64" s="12">
        <v>48800</v>
      </c>
      <c r="AU64" s="12">
        <v>243100</v>
      </c>
      <c r="AV64" s="11">
        <v>20.100000000000001</v>
      </c>
      <c r="AW64" s="11">
        <v>3.2</v>
      </c>
      <c r="AX64" s="12">
        <v>3918200</v>
      </c>
      <c r="AY64" s="12">
        <v>27445900</v>
      </c>
      <c r="AZ64" s="11">
        <v>14.3</v>
      </c>
      <c r="BA64" s="11">
        <v>0.3</v>
      </c>
      <c r="BB64" s="12">
        <v>769700</v>
      </c>
      <c r="BC64" s="12">
        <v>4748100</v>
      </c>
      <c r="BD64" s="11">
        <v>16.2</v>
      </c>
      <c r="BE64" s="11">
        <v>0.8</v>
      </c>
    </row>
    <row r="65" spans="1:57" x14ac:dyDescent="0.35">
      <c r="A65" s="13" t="s">
        <v>25</v>
      </c>
      <c r="B65" s="12">
        <v>14700</v>
      </c>
      <c r="C65" s="12">
        <v>97600</v>
      </c>
      <c r="D65" s="11">
        <v>15</v>
      </c>
      <c r="E65" s="11">
        <v>3.2</v>
      </c>
      <c r="F65" s="12">
        <v>20900</v>
      </c>
      <c r="G65" s="12">
        <v>255500</v>
      </c>
      <c r="H65" s="11">
        <v>8.1999999999999993</v>
      </c>
      <c r="I65" s="11">
        <v>2.1</v>
      </c>
      <c r="J65" s="12">
        <v>6100</v>
      </c>
      <c r="K65" s="12">
        <v>58800</v>
      </c>
      <c r="L65" s="11">
        <v>10.4</v>
      </c>
      <c r="M65" s="11">
        <v>4.9000000000000004</v>
      </c>
      <c r="N65" s="12">
        <v>10600</v>
      </c>
      <c r="O65" s="12">
        <v>44700</v>
      </c>
      <c r="P65" s="11">
        <v>23.8</v>
      </c>
      <c r="Q65" s="11">
        <v>7.5</v>
      </c>
      <c r="R65" s="12">
        <v>5400</v>
      </c>
      <c r="S65" s="12">
        <v>41200</v>
      </c>
      <c r="T65" s="11">
        <v>13.2</v>
      </c>
      <c r="U65" s="11">
        <v>5.7</v>
      </c>
      <c r="V65" s="12">
        <v>6800</v>
      </c>
      <c r="W65" s="12">
        <v>72500</v>
      </c>
      <c r="X65" s="11">
        <v>9.4</v>
      </c>
      <c r="Y65" s="11">
        <v>4.5</v>
      </c>
      <c r="Z65" s="12">
        <v>17300</v>
      </c>
      <c r="AA65" s="12">
        <v>107600</v>
      </c>
      <c r="AB65" s="11">
        <v>16</v>
      </c>
      <c r="AC65" s="11">
        <v>3.1</v>
      </c>
      <c r="AD65" s="12">
        <v>18200</v>
      </c>
      <c r="AE65" s="12">
        <v>150900</v>
      </c>
      <c r="AF65" s="11">
        <v>12.1</v>
      </c>
      <c r="AG65" s="11">
        <v>2.5</v>
      </c>
      <c r="AH65" s="12">
        <v>7600</v>
      </c>
      <c r="AI65" s="12">
        <v>56400</v>
      </c>
      <c r="AJ65" s="11">
        <v>13.4</v>
      </c>
      <c r="AK65" s="11">
        <v>4.8</v>
      </c>
      <c r="AL65" s="12">
        <v>10800</v>
      </c>
      <c r="AM65" s="12">
        <v>108700</v>
      </c>
      <c r="AN65" s="11">
        <v>9.9</v>
      </c>
      <c r="AO65" s="11">
        <v>2.5</v>
      </c>
      <c r="AP65" s="12">
        <v>6000</v>
      </c>
      <c r="AQ65" s="12">
        <v>41500</v>
      </c>
      <c r="AR65" s="11">
        <v>14.5</v>
      </c>
      <c r="AS65" s="11">
        <v>6.4</v>
      </c>
      <c r="AT65" s="12">
        <v>33800</v>
      </c>
      <c r="AU65" s="12">
        <v>252900</v>
      </c>
      <c r="AV65" s="11">
        <v>13.4</v>
      </c>
      <c r="AW65" s="11">
        <v>2.5</v>
      </c>
      <c r="AX65" s="12">
        <v>3690100</v>
      </c>
      <c r="AY65" s="12">
        <v>27272400</v>
      </c>
      <c r="AZ65" s="11">
        <v>13.5</v>
      </c>
      <c r="BA65" s="11">
        <v>0.3</v>
      </c>
      <c r="BB65" s="12">
        <v>742800</v>
      </c>
      <c r="BC65" s="12">
        <v>4754300</v>
      </c>
      <c r="BD65" s="11">
        <v>15.6</v>
      </c>
      <c r="BE65" s="11">
        <v>0.8</v>
      </c>
    </row>
    <row r="66" spans="1:57" x14ac:dyDescent="0.35">
      <c r="A66" s="13" t="s">
        <v>24</v>
      </c>
      <c r="B66" s="12">
        <v>16000</v>
      </c>
      <c r="C66" s="12">
        <v>92300</v>
      </c>
      <c r="D66" s="11">
        <v>17.3</v>
      </c>
      <c r="E66" s="11">
        <v>3.9</v>
      </c>
      <c r="F66" s="12">
        <v>27700</v>
      </c>
      <c r="G66" s="12">
        <v>257100</v>
      </c>
      <c r="H66" s="11">
        <v>10.8</v>
      </c>
      <c r="I66" s="11">
        <v>2.5</v>
      </c>
      <c r="J66" s="12">
        <v>7400</v>
      </c>
      <c r="K66" s="12">
        <v>65100</v>
      </c>
      <c r="L66" s="11">
        <v>11.4</v>
      </c>
      <c r="M66" s="11">
        <v>5.3</v>
      </c>
      <c r="N66" s="12">
        <v>8300</v>
      </c>
      <c r="O66" s="12">
        <v>46900</v>
      </c>
      <c r="P66" s="11">
        <v>17.7</v>
      </c>
      <c r="Q66" s="11">
        <v>6.7</v>
      </c>
      <c r="R66" s="12">
        <v>5000</v>
      </c>
      <c r="S66" s="12">
        <v>37200</v>
      </c>
      <c r="T66" s="11">
        <v>13.5</v>
      </c>
      <c r="U66" s="11">
        <v>7</v>
      </c>
      <c r="V66" s="12">
        <v>6800</v>
      </c>
      <c r="W66" s="12">
        <v>66600</v>
      </c>
      <c r="X66" s="11">
        <v>10.199999999999999</v>
      </c>
      <c r="Y66" s="11">
        <v>4.7</v>
      </c>
      <c r="Z66" s="12">
        <v>14600</v>
      </c>
      <c r="AA66" s="12">
        <v>108000</v>
      </c>
      <c r="AB66" s="11">
        <v>13.5</v>
      </c>
      <c r="AC66" s="11">
        <v>3</v>
      </c>
      <c r="AD66" s="12">
        <v>22800</v>
      </c>
      <c r="AE66" s="12">
        <v>156900</v>
      </c>
      <c r="AF66" s="11">
        <v>14.5</v>
      </c>
      <c r="AG66" s="11">
        <v>3</v>
      </c>
      <c r="AH66" s="12">
        <v>8100</v>
      </c>
      <c r="AI66" s="12">
        <v>63600</v>
      </c>
      <c r="AJ66" s="11">
        <v>12.8</v>
      </c>
      <c r="AK66" s="11">
        <v>5</v>
      </c>
      <c r="AL66" s="12">
        <v>9600</v>
      </c>
      <c r="AM66" s="12">
        <v>110500</v>
      </c>
      <c r="AN66" s="11">
        <v>8.6</v>
      </c>
      <c r="AO66" s="11">
        <v>2.7</v>
      </c>
      <c r="AP66" s="12">
        <v>8200</v>
      </c>
      <c r="AQ66" s="12">
        <v>45900</v>
      </c>
      <c r="AR66" s="11">
        <v>17.8</v>
      </c>
      <c r="AS66" s="11">
        <v>7.1</v>
      </c>
      <c r="AT66" s="12">
        <v>34900</v>
      </c>
      <c r="AU66" s="12">
        <v>255000</v>
      </c>
      <c r="AV66" s="11">
        <v>13.7</v>
      </c>
      <c r="AW66" s="11">
        <v>2.7</v>
      </c>
      <c r="AX66" s="12">
        <v>3721000</v>
      </c>
      <c r="AY66" s="12">
        <v>27701500</v>
      </c>
      <c r="AZ66" s="11">
        <v>13.4</v>
      </c>
      <c r="BA66" s="11">
        <v>0.3</v>
      </c>
      <c r="BB66" s="12">
        <v>770700</v>
      </c>
      <c r="BC66" s="12">
        <v>4837900</v>
      </c>
      <c r="BD66" s="11">
        <v>15.9</v>
      </c>
      <c r="BE66" s="11">
        <v>0.9</v>
      </c>
    </row>
    <row r="67" spans="1:57" x14ac:dyDescent="0.35">
      <c r="A67" s="13" t="s">
        <v>23</v>
      </c>
      <c r="B67" s="12">
        <v>13300</v>
      </c>
      <c r="C67" s="12">
        <v>97800</v>
      </c>
      <c r="D67" s="11">
        <v>13.6</v>
      </c>
      <c r="E67" s="11">
        <v>3.5</v>
      </c>
      <c r="F67" s="12">
        <v>29500</v>
      </c>
      <c r="G67" s="12">
        <v>252000</v>
      </c>
      <c r="H67" s="11">
        <v>11.7</v>
      </c>
      <c r="I67" s="11">
        <v>3.1</v>
      </c>
      <c r="J67" s="12">
        <v>11400</v>
      </c>
      <c r="K67" s="12">
        <v>62100</v>
      </c>
      <c r="L67" s="11">
        <v>18.3</v>
      </c>
      <c r="M67" s="11">
        <v>7.5</v>
      </c>
      <c r="N67" s="12">
        <v>11300</v>
      </c>
      <c r="O67" s="12">
        <v>41000</v>
      </c>
      <c r="P67" s="11">
        <v>27.6</v>
      </c>
      <c r="Q67" s="11">
        <v>10.5</v>
      </c>
      <c r="R67" s="12">
        <v>11300</v>
      </c>
      <c r="S67" s="12">
        <v>43700</v>
      </c>
      <c r="T67" s="11">
        <v>25.8</v>
      </c>
      <c r="U67" s="11">
        <v>9.6999999999999993</v>
      </c>
      <c r="V67" s="12">
        <v>7200</v>
      </c>
      <c r="W67" s="12">
        <v>77400</v>
      </c>
      <c r="X67" s="11">
        <v>9.3000000000000007</v>
      </c>
      <c r="Y67" s="11">
        <v>5.6</v>
      </c>
      <c r="Z67" s="12">
        <v>16300</v>
      </c>
      <c r="AA67" s="12">
        <v>105100</v>
      </c>
      <c r="AB67" s="11">
        <v>15.5</v>
      </c>
      <c r="AC67" s="11">
        <v>3.7</v>
      </c>
      <c r="AD67" s="12">
        <v>15800</v>
      </c>
      <c r="AE67" s="12">
        <v>160300</v>
      </c>
      <c r="AF67" s="11">
        <v>9.8000000000000007</v>
      </c>
      <c r="AG67" s="11">
        <v>2.8</v>
      </c>
      <c r="AH67" s="12">
        <v>15300</v>
      </c>
      <c r="AI67" s="12">
        <v>67400</v>
      </c>
      <c r="AJ67" s="11">
        <v>22.7</v>
      </c>
      <c r="AK67" s="11">
        <v>8.6</v>
      </c>
      <c r="AL67" s="12">
        <v>12800</v>
      </c>
      <c r="AM67" s="12">
        <v>117000</v>
      </c>
      <c r="AN67" s="11">
        <v>11</v>
      </c>
      <c r="AO67" s="11">
        <v>3.5</v>
      </c>
      <c r="AP67" s="12">
        <v>5100</v>
      </c>
      <c r="AQ67" s="12">
        <v>42500</v>
      </c>
      <c r="AR67" s="11">
        <v>12.1</v>
      </c>
      <c r="AS67" s="12" t="s">
        <v>21</v>
      </c>
      <c r="AT67" s="12">
        <v>34900</v>
      </c>
      <c r="AU67" s="12">
        <v>253900</v>
      </c>
      <c r="AV67" s="11">
        <v>13.8</v>
      </c>
      <c r="AW67" s="11">
        <v>3.1</v>
      </c>
      <c r="AX67" s="12">
        <v>3772800</v>
      </c>
      <c r="AY67" s="12">
        <v>27915900</v>
      </c>
      <c r="AZ67" s="11">
        <v>13.5</v>
      </c>
      <c r="BA67" s="11">
        <v>0.3</v>
      </c>
      <c r="BB67" s="12">
        <v>803000</v>
      </c>
      <c r="BC67" s="12">
        <v>4781700</v>
      </c>
      <c r="BD67" s="11">
        <v>16.8</v>
      </c>
      <c r="BE67" s="11">
        <v>1.1000000000000001</v>
      </c>
    </row>
    <row r="68" spans="1:57" x14ac:dyDescent="0.35">
      <c r="A68" s="13" t="s">
        <v>22</v>
      </c>
      <c r="B68" s="12">
        <v>17100</v>
      </c>
      <c r="C68" s="12">
        <v>98600</v>
      </c>
      <c r="D68" s="11">
        <v>17.399999999999999</v>
      </c>
      <c r="E68" s="11">
        <v>3.7</v>
      </c>
      <c r="F68" s="12">
        <v>37900</v>
      </c>
      <c r="G68" s="12">
        <v>261100</v>
      </c>
      <c r="H68" s="11">
        <v>14.5</v>
      </c>
      <c r="I68" s="11">
        <v>3.4</v>
      </c>
      <c r="J68" s="12">
        <v>11700</v>
      </c>
      <c r="K68" s="12">
        <v>62300</v>
      </c>
      <c r="L68" s="11">
        <v>18.8</v>
      </c>
      <c r="M68" s="11">
        <v>7.5</v>
      </c>
      <c r="N68" s="12">
        <v>7500</v>
      </c>
      <c r="O68" s="12">
        <v>43400</v>
      </c>
      <c r="P68" s="11">
        <v>17.399999999999999</v>
      </c>
      <c r="Q68" s="11">
        <v>9.4</v>
      </c>
      <c r="R68" s="12">
        <v>8500</v>
      </c>
      <c r="S68" s="12">
        <v>45200</v>
      </c>
      <c r="T68" s="11">
        <v>18.8</v>
      </c>
      <c r="U68" s="11">
        <v>8.1999999999999993</v>
      </c>
      <c r="V68" s="12">
        <v>6300</v>
      </c>
      <c r="W68" s="12">
        <v>73000</v>
      </c>
      <c r="X68" s="11">
        <v>8.6</v>
      </c>
      <c r="Y68" s="12" t="s">
        <v>21</v>
      </c>
      <c r="Z68" s="12">
        <v>15700</v>
      </c>
      <c r="AA68" s="12">
        <v>103800</v>
      </c>
      <c r="AB68" s="11">
        <v>15.2</v>
      </c>
      <c r="AC68" s="11">
        <v>3.3</v>
      </c>
      <c r="AD68" s="12">
        <v>16500</v>
      </c>
      <c r="AE68" s="12">
        <v>154900</v>
      </c>
      <c r="AF68" s="11">
        <v>10.6</v>
      </c>
      <c r="AG68" s="11">
        <v>2.7</v>
      </c>
      <c r="AH68" s="12">
        <v>11500</v>
      </c>
      <c r="AI68" s="12">
        <v>55900</v>
      </c>
      <c r="AJ68" s="11">
        <v>20.7</v>
      </c>
      <c r="AK68" s="11">
        <v>8</v>
      </c>
      <c r="AL68" s="12">
        <v>10400</v>
      </c>
      <c r="AM68" s="12">
        <v>119300</v>
      </c>
      <c r="AN68" s="11">
        <v>8.6999999999999993</v>
      </c>
      <c r="AO68" s="11">
        <v>3</v>
      </c>
      <c r="AP68" s="12">
        <v>4200</v>
      </c>
      <c r="AQ68" s="12">
        <v>51200</v>
      </c>
      <c r="AR68" s="11">
        <v>8.3000000000000007</v>
      </c>
      <c r="AS68" s="12" t="s">
        <v>21</v>
      </c>
      <c r="AT68" s="12">
        <v>40900</v>
      </c>
      <c r="AU68" s="12">
        <v>254500</v>
      </c>
      <c r="AV68" s="11">
        <v>16.100000000000001</v>
      </c>
      <c r="AW68" s="11">
        <v>3.1</v>
      </c>
      <c r="AX68" s="12">
        <v>3757100</v>
      </c>
      <c r="AY68" s="12">
        <v>27891700</v>
      </c>
      <c r="AZ68" s="11">
        <v>13.5</v>
      </c>
      <c r="BA68" s="11">
        <v>0.3</v>
      </c>
      <c r="BB68" s="12">
        <v>811400</v>
      </c>
      <c r="BC68" s="12">
        <v>4867300</v>
      </c>
      <c r="BD68" s="11">
        <v>16.7</v>
      </c>
      <c r="BE68" s="11">
        <v>1</v>
      </c>
    </row>
    <row r="69" spans="1:57" x14ac:dyDescent="0.35">
      <c r="A69" s="24" t="s">
        <v>94</v>
      </c>
      <c r="B69" s="22">
        <v>15200</v>
      </c>
      <c r="C69" s="22">
        <v>99300</v>
      </c>
      <c r="D69" s="23">
        <v>15.4</v>
      </c>
      <c r="E69" s="23">
        <v>3.4</v>
      </c>
      <c r="F69" s="22">
        <v>33100</v>
      </c>
      <c r="G69" s="22">
        <v>262000</v>
      </c>
      <c r="H69" s="23">
        <v>12.6</v>
      </c>
      <c r="I69" s="23">
        <v>2.7</v>
      </c>
      <c r="J69" s="22">
        <v>5400</v>
      </c>
      <c r="K69" s="22">
        <v>62100</v>
      </c>
      <c r="L69" s="23">
        <v>8.6999999999999993</v>
      </c>
      <c r="M69" s="23">
        <v>5.2</v>
      </c>
      <c r="N69" s="22">
        <v>11200</v>
      </c>
      <c r="O69" s="22">
        <v>45200</v>
      </c>
      <c r="P69" s="23">
        <v>24.8</v>
      </c>
      <c r="Q69" s="23">
        <v>8.1</v>
      </c>
      <c r="R69" s="22">
        <v>8800</v>
      </c>
      <c r="S69" s="22">
        <v>43800</v>
      </c>
      <c r="T69" s="23">
        <v>20.100000000000001</v>
      </c>
      <c r="U69" s="23">
        <v>10.3</v>
      </c>
      <c r="V69" s="22">
        <v>5800</v>
      </c>
      <c r="W69" s="22">
        <v>73100</v>
      </c>
      <c r="X69" s="23">
        <v>8</v>
      </c>
      <c r="Y69" s="23">
        <v>4.5</v>
      </c>
      <c r="Z69" s="22">
        <v>15300</v>
      </c>
      <c r="AA69" s="22">
        <v>105300</v>
      </c>
      <c r="AB69" s="23">
        <v>14.5</v>
      </c>
      <c r="AC69" s="23">
        <v>2.9</v>
      </c>
      <c r="AD69" s="22">
        <v>18300</v>
      </c>
      <c r="AE69" s="22">
        <v>156400</v>
      </c>
      <c r="AF69" s="23">
        <v>11.7</v>
      </c>
      <c r="AG69" s="23">
        <v>2.6</v>
      </c>
      <c r="AH69" s="22">
        <v>12300</v>
      </c>
      <c r="AI69" s="22">
        <v>66600</v>
      </c>
      <c r="AJ69" s="23">
        <v>18.5</v>
      </c>
      <c r="AK69" s="23">
        <v>6.4</v>
      </c>
      <c r="AL69" s="22">
        <v>10700</v>
      </c>
      <c r="AM69" s="22">
        <v>115300</v>
      </c>
      <c r="AN69" s="23">
        <v>9.3000000000000007</v>
      </c>
      <c r="AO69" s="23">
        <v>2.7</v>
      </c>
      <c r="AP69" s="22">
        <v>7600</v>
      </c>
      <c r="AQ69" s="22">
        <v>47900</v>
      </c>
      <c r="AR69" s="23">
        <v>16</v>
      </c>
      <c r="AS69" s="23">
        <v>7</v>
      </c>
      <c r="AT69" s="22">
        <v>42400</v>
      </c>
      <c r="AU69" s="22">
        <v>260300</v>
      </c>
      <c r="AV69" s="23">
        <v>16.3</v>
      </c>
      <c r="AW69" s="23">
        <v>3</v>
      </c>
      <c r="AX69" s="22">
        <v>3851400</v>
      </c>
      <c r="AY69" s="22">
        <v>28226800</v>
      </c>
      <c r="AZ69" s="23">
        <v>13.6</v>
      </c>
      <c r="BA69" s="23">
        <v>0.3</v>
      </c>
      <c r="BB69" s="22">
        <v>750800</v>
      </c>
      <c r="BC69" s="22">
        <v>4875500</v>
      </c>
      <c r="BD69" s="23">
        <v>15.4</v>
      </c>
      <c r="BE69" s="23">
        <v>0.9</v>
      </c>
    </row>
    <row r="70" spans="1:57" x14ac:dyDescent="0.35">
      <c r="AX70" s="25">
        <f>AX68-BB68</f>
        <v>2945700</v>
      </c>
      <c r="AY70" s="25">
        <f>AY68-BC68</f>
        <v>23024400</v>
      </c>
      <c r="AZ70" s="21">
        <f>AX70/AY70*100</f>
        <v>12.79381873143274</v>
      </c>
    </row>
    <row r="71" spans="1:57" x14ac:dyDescent="0.35">
      <c r="A71" s="9" t="s">
        <v>20</v>
      </c>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5">
        <f>AX69-BB69</f>
        <v>3100600</v>
      </c>
      <c r="AY71" s="25">
        <f>AY69-BC69</f>
        <v>23351300</v>
      </c>
      <c r="AZ71" s="21">
        <f>AX71/AY71*100</f>
        <v>13.278061606848441</v>
      </c>
      <c r="BA71" s="21"/>
      <c r="BB71" s="21"/>
      <c r="BC71" s="21"/>
      <c r="BD71" s="21"/>
      <c r="BE71" s="21"/>
    </row>
    <row r="72" spans="1:57" x14ac:dyDescent="0.35">
      <c r="A72" s="9" t="s">
        <v>19</v>
      </c>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row>
    <row r="73" spans="1:57" x14ac:dyDescent="0.35">
      <c r="A73" s="9" t="s">
        <v>18</v>
      </c>
    </row>
    <row r="74" spans="1:57" x14ac:dyDescent="0.35">
      <c r="A74" s="9" t="s">
        <v>17</v>
      </c>
    </row>
  </sheetData>
  <mergeCells count="28">
    <mergeCell ref="AH7:AK7"/>
    <mergeCell ref="AL7:AO7"/>
    <mergeCell ref="B7:E7"/>
    <mergeCell ref="F7:I7"/>
    <mergeCell ref="J7:M7"/>
    <mergeCell ref="N7:Q7"/>
    <mergeCell ref="R7:U7"/>
    <mergeCell ref="AP7:AS7"/>
    <mergeCell ref="AT7:AW7"/>
    <mergeCell ref="AX7:BA7"/>
    <mergeCell ref="BB7:BE7"/>
    <mergeCell ref="V7:Y7"/>
    <mergeCell ref="Z7:AC7"/>
    <mergeCell ref="AD7:AG7"/>
    <mergeCell ref="B46:E46"/>
    <mergeCell ref="F46:I46"/>
    <mergeCell ref="J46:M46"/>
    <mergeCell ref="N46:Q46"/>
    <mergeCell ref="R46:U46"/>
    <mergeCell ref="AT46:AW46"/>
    <mergeCell ref="AX46:BA46"/>
    <mergeCell ref="BB46:BE46"/>
    <mergeCell ref="V46:Y46"/>
    <mergeCell ref="Z46:AC46"/>
    <mergeCell ref="AD46:AG46"/>
    <mergeCell ref="AH46:AK46"/>
    <mergeCell ref="AL46:AO46"/>
    <mergeCell ref="AP46:AS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B37FC-5164-4FB2-8A14-838AF104759B}">
  <dimension ref="A1:V4"/>
  <sheetViews>
    <sheetView workbookViewId="0">
      <selection activeCell="E24" sqref="E24"/>
    </sheetView>
  </sheetViews>
  <sheetFormatPr defaultRowHeight="14.5" x14ac:dyDescent="0.35"/>
  <cols>
    <col min="1" max="1" width="20.36328125" bestFit="1" customWidth="1"/>
    <col min="4" max="4" width="8.90625" bestFit="1" customWidth="1"/>
  </cols>
  <sheetData>
    <row r="1" spans="1:22" s="2" customFormat="1" x14ac:dyDescent="0.35">
      <c r="A1" s="2" t="s">
        <v>71</v>
      </c>
      <c r="B1" s="20" t="s">
        <v>72</v>
      </c>
      <c r="C1" s="20" t="s">
        <v>73</v>
      </c>
      <c r="D1" s="20" t="s">
        <v>74</v>
      </c>
      <c r="E1" s="20" t="s">
        <v>75</v>
      </c>
      <c r="F1" s="20" t="s">
        <v>76</v>
      </c>
      <c r="G1" s="20" t="s">
        <v>77</v>
      </c>
      <c r="H1" s="20" t="s">
        <v>78</v>
      </c>
      <c r="I1" s="20" t="s">
        <v>79</v>
      </c>
      <c r="J1" s="20" t="s">
        <v>80</v>
      </c>
      <c r="K1" s="20" t="s">
        <v>81</v>
      </c>
      <c r="L1" s="20" t="s">
        <v>82</v>
      </c>
      <c r="M1" s="20" t="s">
        <v>83</v>
      </c>
      <c r="N1" s="20" t="s">
        <v>84</v>
      </c>
      <c r="O1" s="20" t="s">
        <v>85</v>
      </c>
      <c r="P1" s="20" t="s">
        <v>86</v>
      </c>
      <c r="Q1" s="20" t="s">
        <v>87</v>
      </c>
      <c r="R1" s="20" t="s">
        <v>88</v>
      </c>
      <c r="S1" s="20" t="s">
        <v>89</v>
      </c>
      <c r="T1" s="20" t="s">
        <v>90</v>
      </c>
      <c r="U1" s="20" t="s">
        <v>91</v>
      </c>
      <c r="V1" s="20" t="s">
        <v>92</v>
      </c>
    </row>
    <row r="2" spans="1:22" x14ac:dyDescent="0.35">
      <c r="A2" t="s">
        <v>70</v>
      </c>
      <c r="B2" s="17">
        <v>12.064319080129357</v>
      </c>
      <c r="C2" s="17">
        <v>12.872855257369114</v>
      </c>
      <c r="D2" s="17">
        <v>12.242066932547251</v>
      </c>
      <c r="E2" s="17">
        <v>13.305968872926288</v>
      </c>
      <c r="F2" s="17">
        <v>13.218488828244926</v>
      </c>
      <c r="G2" s="17">
        <v>13.567321719728826</v>
      </c>
      <c r="H2" s="17">
        <v>12.800480769230768</v>
      </c>
      <c r="I2" s="17">
        <v>14.450716456795485</v>
      </c>
      <c r="J2" s="17">
        <v>14.19030271489288</v>
      </c>
      <c r="K2" s="17">
        <v>14.62179101914656</v>
      </c>
      <c r="L2" s="17">
        <v>15.316886784616662</v>
      </c>
      <c r="M2" s="17">
        <v>14.998388136686009</v>
      </c>
      <c r="N2" s="17">
        <v>15.445607358071678</v>
      </c>
      <c r="O2" s="17">
        <v>14.800936768149883</v>
      </c>
      <c r="P2" s="17">
        <v>14.934409687184663</v>
      </c>
      <c r="Q2" s="17">
        <v>15.875968992248064</v>
      </c>
      <c r="R2" s="17">
        <v>14.17035484121438</v>
      </c>
      <c r="S2" s="17">
        <v>12.279748505782814</v>
      </c>
      <c r="T2" s="17">
        <v>12.979848287487549</v>
      </c>
      <c r="U2" s="17">
        <v>13.952431449780336</v>
      </c>
      <c r="V2" s="17">
        <v>14.22309552599758</v>
      </c>
    </row>
    <row r="3" spans="1:22" x14ac:dyDescent="0.35">
      <c r="A3" s="10" t="s">
        <v>69</v>
      </c>
      <c r="B3" s="18">
        <v>12.8</v>
      </c>
      <c r="C3" s="18">
        <v>13.1</v>
      </c>
      <c r="D3" s="18">
        <v>13.2</v>
      </c>
      <c r="E3" s="18">
        <v>13.3</v>
      </c>
      <c r="F3" s="18">
        <v>13.1</v>
      </c>
      <c r="G3" s="18">
        <v>13.5</v>
      </c>
      <c r="H3" s="18">
        <v>13.8</v>
      </c>
      <c r="I3" s="18">
        <v>14.2</v>
      </c>
      <c r="J3" s="18">
        <v>14.6</v>
      </c>
      <c r="K3" s="18">
        <v>14.7</v>
      </c>
      <c r="L3" s="18">
        <v>15.1</v>
      </c>
      <c r="M3" s="18">
        <v>15.1</v>
      </c>
      <c r="N3" s="18">
        <v>15.5</v>
      </c>
      <c r="O3" s="18">
        <v>15.5</v>
      </c>
      <c r="P3" s="18">
        <v>15.4</v>
      </c>
      <c r="Q3" s="18">
        <v>15.6</v>
      </c>
      <c r="R3" s="18">
        <v>14.3</v>
      </c>
      <c r="S3" s="18">
        <v>13.5</v>
      </c>
      <c r="T3" s="18">
        <v>13.4</v>
      </c>
      <c r="U3" s="18">
        <v>13.5</v>
      </c>
      <c r="V3" s="18">
        <v>13.5</v>
      </c>
    </row>
    <row r="4" spans="1:22" x14ac:dyDescent="0.35">
      <c r="A4" t="s">
        <v>68</v>
      </c>
      <c r="B4" s="17">
        <v>12.279710799819251</v>
      </c>
      <c r="C4" s="17">
        <v>12.549090044126428</v>
      </c>
      <c r="D4" s="17">
        <v>12.704278280978995</v>
      </c>
      <c r="E4" s="17">
        <v>12.834324277821324</v>
      </c>
      <c r="F4" s="17">
        <v>12.70996934197289</v>
      </c>
      <c r="G4" s="17">
        <v>13.021499747974099</v>
      </c>
      <c r="H4" s="17">
        <v>13.406875196555143</v>
      </c>
      <c r="I4" s="17">
        <v>13.710367223857228</v>
      </c>
      <c r="J4" s="17">
        <v>13.957152915143997</v>
      </c>
      <c r="K4" s="17">
        <v>14.228656069432549</v>
      </c>
      <c r="L4" s="17">
        <v>14.381725434709757</v>
      </c>
      <c r="M4" s="17">
        <v>14.534698375975735</v>
      </c>
      <c r="N4" s="17">
        <v>14.831998194742186</v>
      </c>
      <c r="O4" s="17">
        <v>14.728685616736758</v>
      </c>
      <c r="P4" s="17">
        <v>14.676293366602074</v>
      </c>
      <c r="Q4" s="17">
        <v>15.003561144634906</v>
      </c>
      <c r="R4" s="17">
        <v>13.871388416498515</v>
      </c>
      <c r="S4" s="17">
        <v>13.088582073976045</v>
      </c>
      <c r="T4" s="17">
        <v>12.903917143406987</v>
      </c>
      <c r="U4" s="17">
        <v>12.83727122615003</v>
      </c>
      <c r="V4" s="17">
        <v>12.79381873143274</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41E8-98E4-46BB-BB78-32F51B64404B}">
  <dimension ref="A1:D22"/>
  <sheetViews>
    <sheetView tabSelected="1" workbookViewId="0">
      <selection activeCell="F24" sqref="F24"/>
    </sheetView>
  </sheetViews>
  <sheetFormatPr defaultRowHeight="14.5" x14ac:dyDescent="0.35"/>
  <cols>
    <col min="1" max="1" width="8.6328125" customWidth="1"/>
    <col min="2" max="2" width="20.36328125" bestFit="1" customWidth="1"/>
    <col min="3" max="3" width="7.1796875" bestFit="1" customWidth="1"/>
    <col min="4" max="4" width="17.81640625" bestFit="1" customWidth="1"/>
  </cols>
  <sheetData>
    <row r="1" spans="1:4" x14ac:dyDescent="0.35">
      <c r="A1" t="s">
        <v>93</v>
      </c>
      <c r="B1" t="s">
        <v>70</v>
      </c>
      <c r="C1" s="19" t="s">
        <v>69</v>
      </c>
      <c r="D1" t="s">
        <v>68</v>
      </c>
    </row>
    <row r="2" spans="1:4" x14ac:dyDescent="0.35">
      <c r="A2">
        <v>2005</v>
      </c>
      <c r="B2" s="17">
        <v>12.872855257369114</v>
      </c>
      <c r="C2" s="26">
        <v>13.1</v>
      </c>
      <c r="D2" s="17">
        <v>12.549090044126428</v>
      </c>
    </row>
    <row r="3" spans="1:4" x14ac:dyDescent="0.35">
      <c r="A3">
        <v>2006</v>
      </c>
      <c r="B3" s="17">
        <v>12.242066932547251</v>
      </c>
      <c r="C3" s="26">
        <v>13.2</v>
      </c>
      <c r="D3" s="17">
        <v>12.704278280978995</v>
      </c>
    </row>
    <row r="4" spans="1:4" x14ac:dyDescent="0.35">
      <c r="A4">
        <v>2007</v>
      </c>
      <c r="B4" s="17">
        <v>13.305968872926288</v>
      </c>
      <c r="C4" s="26">
        <v>13.3</v>
      </c>
      <c r="D4" s="17">
        <v>12.834324277821324</v>
      </c>
    </row>
    <row r="5" spans="1:4" x14ac:dyDescent="0.35">
      <c r="A5">
        <v>2008</v>
      </c>
      <c r="B5" s="17">
        <v>13.218488828244926</v>
      </c>
      <c r="C5" s="26">
        <v>13.1</v>
      </c>
      <c r="D5" s="17">
        <v>12.70996934197289</v>
      </c>
    </row>
    <row r="6" spans="1:4" x14ac:dyDescent="0.35">
      <c r="A6">
        <v>2009</v>
      </c>
      <c r="B6" s="17">
        <v>13.567321719728826</v>
      </c>
      <c r="C6" s="26">
        <v>13.5</v>
      </c>
      <c r="D6" s="17">
        <v>13.021499747974099</v>
      </c>
    </row>
    <row r="7" spans="1:4" x14ac:dyDescent="0.35">
      <c r="A7">
        <v>2010</v>
      </c>
      <c r="B7" s="17">
        <v>12.800480769230768</v>
      </c>
      <c r="C7" s="26">
        <v>13.8</v>
      </c>
      <c r="D7" s="17">
        <v>13.406875196555143</v>
      </c>
    </row>
    <row r="8" spans="1:4" x14ac:dyDescent="0.35">
      <c r="A8">
        <v>2011</v>
      </c>
      <c r="B8" s="17">
        <v>14.450716456795485</v>
      </c>
      <c r="C8" s="26">
        <v>14.2</v>
      </c>
      <c r="D8" s="17">
        <v>13.710367223857228</v>
      </c>
    </row>
    <row r="9" spans="1:4" x14ac:dyDescent="0.35">
      <c r="A9">
        <v>2012</v>
      </c>
      <c r="B9" s="17">
        <v>14.19030271489288</v>
      </c>
      <c r="C9" s="26">
        <v>14.6</v>
      </c>
      <c r="D9" s="17">
        <v>13.957152915143997</v>
      </c>
    </row>
    <row r="10" spans="1:4" x14ac:dyDescent="0.35">
      <c r="A10">
        <v>2013</v>
      </c>
      <c r="B10" s="17">
        <v>14.62179101914656</v>
      </c>
      <c r="C10" s="26">
        <v>14.7</v>
      </c>
      <c r="D10" s="17">
        <v>14.228656069432549</v>
      </c>
    </row>
    <row r="11" spans="1:4" x14ac:dyDescent="0.35">
      <c r="A11">
        <v>2014</v>
      </c>
      <c r="B11" s="17">
        <v>15.316886784616662</v>
      </c>
      <c r="C11" s="26">
        <v>15.1</v>
      </c>
      <c r="D11" s="17">
        <v>14.381725434709757</v>
      </c>
    </row>
    <row r="12" spans="1:4" x14ac:dyDescent="0.35">
      <c r="A12">
        <v>2015</v>
      </c>
      <c r="B12" s="17">
        <v>14.998388136686009</v>
      </c>
      <c r="C12" s="26">
        <v>15.1</v>
      </c>
      <c r="D12" s="17">
        <v>14.534698375975735</v>
      </c>
    </row>
    <row r="13" spans="1:4" x14ac:dyDescent="0.35">
      <c r="A13">
        <v>2016</v>
      </c>
      <c r="B13" s="17">
        <v>15.445607358071678</v>
      </c>
      <c r="C13" s="26">
        <v>15.5</v>
      </c>
      <c r="D13" s="17">
        <v>14.831998194742186</v>
      </c>
    </row>
    <row r="14" spans="1:4" x14ac:dyDescent="0.35">
      <c r="A14">
        <v>2017</v>
      </c>
      <c r="B14" s="17">
        <v>14.800936768149883</v>
      </c>
      <c r="C14" s="26">
        <v>15.5</v>
      </c>
      <c r="D14" s="17">
        <v>14.728685616736758</v>
      </c>
    </row>
    <row r="15" spans="1:4" x14ac:dyDescent="0.35">
      <c r="A15">
        <v>2018</v>
      </c>
      <c r="B15" s="17">
        <v>14.934409687184663</v>
      </c>
      <c r="C15" s="26">
        <v>15.4</v>
      </c>
      <c r="D15" s="17">
        <v>14.676293366602074</v>
      </c>
    </row>
    <row r="16" spans="1:4" x14ac:dyDescent="0.35">
      <c r="A16">
        <v>2019</v>
      </c>
      <c r="B16" s="17">
        <v>15.875968992248064</v>
      </c>
      <c r="C16" s="26">
        <v>15.6</v>
      </c>
      <c r="D16" s="17">
        <v>15.003561144634906</v>
      </c>
    </row>
    <row r="17" spans="1:4" x14ac:dyDescent="0.35">
      <c r="A17">
        <v>2020</v>
      </c>
      <c r="B17" s="17">
        <v>14.17035484121438</v>
      </c>
      <c r="C17" s="26">
        <v>14.3</v>
      </c>
      <c r="D17" s="17">
        <v>13.871388416498515</v>
      </c>
    </row>
    <row r="18" spans="1:4" x14ac:dyDescent="0.35">
      <c r="A18">
        <v>2021</v>
      </c>
      <c r="B18" s="17">
        <v>12.279748505782814</v>
      </c>
      <c r="C18" s="26">
        <v>13.5</v>
      </c>
      <c r="D18" s="17">
        <v>13.088582073976045</v>
      </c>
    </row>
    <row r="19" spans="1:4" x14ac:dyDescent="0.35">
      <c r="A19">
        <v>2022</v>
      </c>
      <c r="B19" s="17">
        <v>12.979848287487549</v>
      </c>
      <c r="C19" s="26">
        <v>13.4</v>
      </c>
      <c r="D19" s="17">
        <v>12.903917143406987</v>
      </c>
    </row>
    <row r="20" spans="1:4" x14ac:dyDescent="0.35">
      <c r="A20">
        <v>2023</v>
      </c>
      <c r="B20" s="17">
        <v>13.952431449780336</v>
      </c>
      <c r="C20" s="26">
        <v>13.5</v>
      </c>
      <c r="D20" s="17">
        <v>12.83727122615003</v>
      </c>
    </row>
    <row r="21" spans="1:4" x14ac:dyDescent="0.35">
      <c r="A21">
        <v>2024</v>
      </c>
      <c r="B21" s="17">
        <v>14.22309552599758</v>
      </c>
      <c r="C21" s="26">
        <v>13.5</v>
      </c>
      <c r="D21" s="17">
        <v>12.79381873143274</v>
      </c>
    </row>
    <row r="22" spans="1:4" x14ac:dyDescent="0.35">
      <c r="A22">
        <v>2025</v>
      </c>
      <c r="B22" s="17">
        <v>13.916099603679054</v>
      </c>
      <c r="C22" s="27">
        <v>13.6</v>
      </c>
      <c r="D22" s="17">
        <v>13.278061606848441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old_Analysi s</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2026-04-09T10:47:24Z</dcterms:created>
  <dcterms:modified xsi:type="dcterms:W3CDTF">2026-04-22T15:20:54Z</dcterms:modified>
</cp:coreProperties>
</file>