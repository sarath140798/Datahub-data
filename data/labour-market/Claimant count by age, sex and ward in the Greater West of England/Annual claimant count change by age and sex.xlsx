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Claimant by age and sex\"/>
    </mc:Choice>
  </mc:AlternateContent>
  <xr:revisionPtr revIDLastSave="0" documentId="13_ncr:1_{B0C7B305-5E3F-4A24-BDA1-647921705C43}"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C14" i="2"/>
  <c r="C15" i="2"/>
  <c r="C16" i="2"/>
  <c r="C17" i="2"/>
  <c r="C18" i="2"/>
  <c r="C19" i="2"/>
  <c r="C20" i="2"/>
  <c r="C21" i="2"/>
  <c r="C12" i="2"/>
  <c r="C11" i="2"/>
  <c r="C3" i="2"/>
  <c r="C4" i="2"/>
  <c r="C5" i="2"/>
  <c r="C6" i="2"/>
  <c r="C7" i="2"/>
  <c r="C8" i="2"/>
  <c r="C9" i="2"/>
  <c r="C10" i="2"/>
  <c r="C2" i="2"/>
</calcChain>
</file>

<file path=xl/sharedStrings.xml><?xml version="1.0" encoding="utf-8"?>
<sst xmlns="http://schemas.openxmlformats.org/spreadsheetml/2006/main" count="110" uniqueCount="47">
  <si>
    <t>Claimant count by sex and age</t>
  </si>
  <si>
    <t>ONS Crown Copyright Reserved [from Nomis on 5 May 2026]</t>
  </si>
  <si>
    <t>area type</t>
  </si>
  <si>
    <t>User Defined Geography</t>
  </si>
  <si>
    <t>area name</t>
  </si>
  <si>
    <t>The Greater West of England with local district</t>
  </si>
  <si>
    <t>date</t>
  </si>
  <si>
    <t>March 2025</t>
  </si>
  <si>
    <t>measure</t>
  </si>
  <si>
    <t>Claimant count</t>
  </si>
  <si>
    <t>Male</t>
  </si>
  <si>
    <t>Female</t>
  </si>
  <si>
    <t>Age</t>
  </si>
  <si>
    <t>Aged 16-24</t>
  </si>
  <si>
    <t>Aged 25-29</t>
  </si>
  <si>
    <t>Aged 30-34</t>
  </si>
  <si>
    <t>Aged 35-39</t>
  </si>
  <si>
    <t>Aged 40-44</t>
  </si>
  <si>
    <t>Aged 45-49</t>
  </si>
  <si>
    <t>Aged 50-54</t>
  </si>
  <si>
    <t>Aged 55-59</t>
  </si>
  <si>
    <t>Aged 60-64</t>
  </si>
  <si>
    <t>Aged 65+</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</si>
  <si>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</si>
  <si>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</si>
  <si>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</si>
  <si>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March 2026</t>
  </si>
  <si>
    <t>Male claimant change in last 12 months (Mar 25-26)</t>
  </si>
  <si>
    <t>Female claimant change in last 12 months (Mar 25-26)</t>
  </si>
  <si>
    <t>age_group</t>
  </si>
  <si>
    <t>Count</t>
  </si>
  <si>
    <t>Column1</t>
  </si>
  <si>
    <t>Dataset</t>
  </si>
  <si>
    <t>Tables used</t>
  </si>
  <si>
    <t>Publication date</t>
  </si>
  <si>
    <t>Link</t>
  </si>
  <si>
    <t>Next update</t>
  </si>
  <si>
    <t>TBC</t>
  </si>
  <si>
    <t>Created date</t>
  </si>
  <si>
    <t>Last updated</t>
  </si>
  <si>
    <t>Geography used for analysis</t>
  </si>
  <si>
    <t>Data information</t>
  </si>
  <si>
    <t>Claimant Count (ONS via NOMIS)</t>
  </si>
  <si>
    <t xml:space="preserve">NOMIS customised query </t>
  </si>
  <si>
    <t>Nomis - Query Tool - Claimant count by sex and age</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</si>
  <si>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</si>
  <si>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(aggregating Bath and North East Somerset, Bristol, Gloucestershire, North Somerset, South Gloucestershire, Swindon and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</si>
</sst>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13" x14ac:knownFonts="1">
    <font>
      <sz val="11"/>
      <color indexed="8"/>
      <name val="Aptos Narrow"/>
      <family val="2"/>
      <scheme val="minor"/>
    </font>
    <font>
      <b/>
      <sz val="12"/>
      <name val="arial"/>
    </font>
    <font>
      <sz val="10"/>
      <name val="arial"/>
    </font>
    <font>
      <sz val="10"/>
      <name val="arial"/>
    </font>
    <font>
      <sz val="10"/>
      <name val="arial"/>
    </font>
    <font>
      <b/>
      <sz val="10"/>
      <name val="arial"/>
    </font>
    <font>
      <b/>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2" fillId="0" borderId="0" applyNumberFormat="0" applyFill="0" applyBorder="0" applyAlignment="0" applyProtection="0"/>
    <xf numFmtId="0" fontId="10"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164" fontId="4" fillId="0" borderId="0" xfId="0" applyNumberFormat="1" applyFont="1" applyAlignment="1">
      <alignment horizontal="left"/>
    </xf>
    <xf numFmtId="0" fontId="5" fillId="0" borderId="0" xfId="0" applyFont="1" applyAlignment="1">
      <alignment horizontal="center" vertical="center" wrapText="1"/>
    </xf>
    <xf numFmtId="0" fontId="6" fillId="0" borderId="0" xfId="0" applyFont="1" applyAlignment="1">
      <alignment horizontal="left" vertical="center" wrapText="1"/>
    </xf>
    <xf numFmtId="0" fontId="7" fillId="0" borderId="0" xfId="0" applyNumberFormat="1" applyFont="1" applyAlignment="1">
      <alignment horizontal="left"/>
    </xf>
    <xf numFmtId="3" fontId="8" fillId="0" borderId="0" xfId="0" applyNumberFormat="1" applyFont="1" applyAlignment="1">
      <alignment horizontal="right"/>
    </xf>
    <xf numFmtId="0" fontId="9" fillId="0" borderId="0" xfId="0" applyFont="1"/>
    <xf numFmtId="3" fontId="0" fillId="0" borderId="0" xfId="0" applyNumberFormat="1"/>
    <xf numFmtId="0" fontId="10" fillId="0" borderId="0" xfId="2"/>
    <xf numFmtId="14" fontId="10" fillId="0" borderId="0" xfId="2" applyNumberFormat="1" applyAlignment="1">
      <alignment horizontal="left"/>
    </xf>
    <xf numFmtId="0" fontId="12" fillId="0" borderId="0" xfId="1"/>
    <xf numFmtId="17" fontId="0" fillId="0" borderId="0" xfId="2" applyNumberFormat="1" applyFont="1" applyAlignment="1">
      <alignment horizontal="left"/>
    </xf>
    <xf numFmtId="0" fontId="0" fillId="0" borderId="0" xfId="0" applyAlignment="1">
      <alignment wrapText="1"/>
    </xf>
    <xf numFmtId="0" fontId="0" fillId="0" borderId="0" xfId="2" applyFont="1" applyAlignment="1">
      <alignment wrapText="1"/>
    </xf>
    <xf numFmtId="0" fontId="11" fillId="0" borderId="0" xfId="2" applyFont="1" applyAlignment="1">
      <alignment horizontal="left" vertical="top" wrapText="1"/>
    </xf>
  </cellXfs>
  <cellStyles count="3">
    <cellStyle name="Hyperlink" xfId="1" builtinId="8"/>
    <cellStyle name="Normal" xfId="0" builtinId="0"/>
    <cellStyle name="Normal 2" xfId="2" xr:uid="{6DFDCF66-DE33-44C6-BEE4-A6045E87EC4F}"/>
  </cellStyles>
  <dxfs count="1">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9438AB-831D-4120-80A6-609320394F85}" name="Table1" displayName="Table1" ref="A1:C21" totalsRowShown="0">
  <autoFilter ref="A1:C21" xr:uid="{5B9438AB-831D-4120-80A6-609320394F85}"/>
  <tableColumns count="3">
    <tableColumn id="1" xr3:uid="{74D9EA63-F00C-4532-AD43-1FA909B242F8}" name="Column1"/>
    <tableColumn id="2" xr3:uid="{81672001-87EA-431B-B509-CE1BFA1BAF61}" name="age_group"/>
    <tableColumn id="3" xr3:uid="{36A874FE-C64D-433D-A1EA-6696ADB0DC1D}" name="Cou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62"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94DDA-7E03-49C9-A61F-0F94BBED2C65}">
  <dimension ref="A1:B9"/>
  <sheetViews>
    <sheetView tabSelected="1" workbookViewId="0">
      <selection activeCell="B9" sqref="A8:B9"/>
    </sheetView>
  </sheetViews>
  <sheetFormatPr defaultRowHeight="14.5" x14ac:dyDescent="0.35"/>
  <cols>
    <col min="1" max="1" width="25.08984375" style="11" bestFit="1" customWidth="1"/>
    <col min="2" max="2" width="81.54296875" style="11" customWidth="1"/>
    <col min="3" max="16384" width="8.7265625" style="11"/>
  </cols>
  <sheetData>
    <row r="1" spans="1:2" x14ac:dyDescent="0.35">
      <c r="A1" s="17" t="s">
        <v>32</v>
      </c>
      <c r="B1" t="s">
        <v>42</v>
      </c>
    </row>
    <row r="2" spans="1:2" x14ac:dyDescent="0.35">
      <c r="A2" s="17" t="s">
        <v>33</v>
      </c>
      <c r="B2" s="11" t="s">
        <v>43</v>
      </c>
    </row>
    <row r="3" spans="1:2" x14ac:dyDescent="0.35">
      <c r="A3" s="17" t="s">
        <v>34</v>
      </c>
      <c r="B3" s="12">
        <v>46100</v>
      </c>
    </row>
    <row r="4" spans="1:2" x14ac:dyDescent="0.35">
      <c r="A4" s="17" t="s">
        <v>35</v>
      </c>
      <c r="B4" s="13" t="s">
        <v>44</v>
      </c>
    </row>
    <row r="5" spans="1:2" x14ac:dyDescent="0.35">
      <c r="A5" s="17" t="s">
        <v>36</v>
      </c>
      <c r="B5" s="14" t="s">
        <v>37</v>
      </c>
    </row>
    <row r="6" spans="1:2" x14ac:dyDescent="0.35">
      <c r="A6" s="17" t="s">
        <v>38</v>
      </c>
      <c r="B6" s="12">
        <v>46133</v>
      </c>
    </row>
    <row r="7" spans="1:2" x14ac:dyDescent="0.35">
      <c r="A7" s="17" t="s">
        <v>39</v>
      </c>
      <c r="B7" s="12">
        <v>46133</v>
      </c>
    </row>
    <row r="8" spans="1:2" ht="30.5" customHeight="1" x14ac:dyDescent="0.35">
      <c r="A8" s="17" t="s">
        <v>40</v>
      </c>
      <c r="B8" s="15" t="s">
        <v>46</v>
      </c>
    </row>
    <row r="9" spans="1:2" ht="400" customHeight="1" x14ac:dyDescent="0.35">
      <c r="A9" s="17" t="s">
        <v>41</v>
      </c>
      <c r="B9" s="16" t="s">
        <v>45</v>
      </c>
    </row>
  </sheetData>
  <hyperlinks>
    <hyperlink ref="B4" r:id="rId1" display="https://www.nomisweb.co.uk/query/construct/summary.asp?mode=construct&amp;version=0&amp;dataset=162" xr:uid="{6F68523A-EE13-4E21-AEB9-C591D7EEAC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workbookViewId="0"/>
  </sheetViews>
  <sheetFormatPr defaultRowHeight="14.5" x14ac:dyDescent="0.35"/>
  <cols>
    <col min="1" max="1" width="13" customWidth="1" collapsed="1"/>
    <col min="2" max="3" width="14" customWidth="1" collapsed="1"/>
  </cols>
  <sheetData>
    <row r="1" spans="1:3" ht="15.5" x14ac:dyDescent="0.35">
      <c r="A1" s="1" t="s">
        <v>0</v>
      </c>
    </row>
    <row r="2" spans="1:3" x14ac:dyDescent="0.35">
      <c r="A2" s="2" t="s">
        <v>1</v>
      </c>
    </row>
    <row r="4" spans="1:3" x14ac:dyDescent="0.35">
      <c r="A4" s="3" t="s">
        <v>2</v>
      </c>
      <c r="B4" s="3" t="s">
        <v>3</v>
      </c>
    </row>
    <row r="5" spans="1:3" x14ac:dyDescent="0.35">
      <c r="A5" s="3" t="s">
        <v>4</v>
      </c>
      <c r="B5" s="3" t="s">
        <v>5</v>
      </c>
    </row>
    <row r="6" spans="1:3" x14ac:dyDescent="0.35">
      <c r="A6" s="4" t="s">
        <v>6</v>
      </c>
      <c r="B6" s="4" t="s">
        <v>7</v>
      </c>
    </row>
    <row r="7" spans="1:3" x14ac:dyDescent="0.35">
      <c r="A7" s="3" t="s">
        <v>8</v>
      </c>
      <c r="B7" s="3" t="s">
        <v>9</v>
      </c>
    </row>
    <row r="9" spans="1:3" ht="22" customHeight="1" x14ac:dyDescent="0.35">
      <c r="A9" s="6" t="s">
        <v>12</v>
      </c>
      <c r="B9" s="5" t="s">
        <v>10</v>
      </c>
      <c r="C9" s="5" t="s">
        <v>11</v>
      </c>
    </row>
    <row r="10" spans="1:3" x14ac:dyDescent="0.35">
      <c r="A10" s="7" t="s">
        <v>13</v>
      </c>
      <c r="B10" s="8">
        <v>6125</v>
      </c>
      <c r="C10" s="8">
        <v>4190</v>
      </c>
    </row>
    <row r="11" spans="1:3" x14ac:dyDescent="0.35">
      <c r="A11" s="7" t="s">
        <v>14</v>
      </c>
      <c r="B11" s="8">
        <v>3955</v>
      </c>
      <c r="C11" s="8">
        <v>2745</v>
      </c>
    </row>
    <row r="12" spans="1:3" x14ac:dyDescent="0.35">
      <c r="A12" s="7" t="s">
        <v>15</v>
      </c>
      <c r="B12" s="8">
        <v>3785</v>
      </c>
      <c r="C12" s="8">
        <v>3360</v>
      </c>
    </row>
    <row r="13" spans="1:3" x14ac:dyDescent="0.35">
      <c r="A13" s="7" t="s">
        <v>16</v>
      </c>
      <c r="B13" s="8">
        <v>3850</v>
      </c>
      <c r="C13" s="8">
        <v>3605</v>
      </c>
    </row>
    <row r="14" spans="1:3" x14ac:dyDescent="0.35">
      <c r="A14" s="7" t="s">
        <v>17</v>
      </c>
      <c r="B14" s="8">
        <v>3405</v>
      </c>
      <c r="C14" s="8">
        <v>3395</v>
      </c>
    </row>
    <row r="15" spans="1:3" x14ac:dyDescent="0.35">
      <c r="A15" s="7" t="s">
        <v>18</v>
      </c>
      <c r="B15" s="8">
        <v>2695</v>
      </c>
      <c r="C15" s="8">
        <v>2475</v>
      </c>
    </row>
    <row r="16" spans="1:3" x14ac:dyDescent="0.35">
      <c r="A16" s="7" t="s">
        <v>19</v>
      </c>
      <c r="B16" s="8">
        <v>2455</v>
      </c>
      <c r="C16" s="8">
        <v>2045</v>
      </c>
    </row>
    <row r="17" spans="1:3" x14ac:dyDescent="0.35">
      <c r="A17" s="7" t="s">
        <v>20</v>
      </c>
      <c r="B17" s="8">
        <v>2250</v>
      </c>
      <c r="C17" s="8">
        <v>1615</v>
      </c>
    </row>
    <row r="18" spans="1:3" x14ac:dyDescent="0.35">
      <c r="A18" s="7" t="s">
        <v>21</v>
      </c>
      <c r="B18" s="8">
        <v>1985</v>
      </c>
      <c r="C18" s="8">
        <v>1445</v>
      </c>
    </row>
    <row r="19" spans="1:3" x14ac:dyDescent="0.35">
      <c r="A19" s="7" t="s">
        <v>22</v>
      </c>
      <c r="B19" s="8">
        <v>515</v>
      </c>
      <c r="C19" s="8">
        <v>340</v>
      </c>
    </row>
    <row r="21" spans="1:3" x14ac:dyDescent="0.35">
      <c r="A21" s="9" t="s">
        <v>23</v>
      </c>
    </row>
    <row r="22" spans="1:3" x14ac:dyDescent="0.35">
      <c r="A22" s="9" t="s">
        <v>24</v>
      </c>
    </row>
    <row r="23" spans="1:3" x14ac:dyDescent="0.35">
      <c r="A23" s="9" t="s">
        <v>25</v>
      </c>
    </row>
    <row r="26" spans="1:3" ht="15.5" x14ac:dyDescent="0.35">
      <c r="A26" s="1" t="s">
        <v>0</v>
      </c>
    </row>
    <row r="27" spans="1:3" x14ac:dyDescent="0.35">
      <c r="A27" s="2" t="s">
        <v>1</v>
      </c>
    </row>
    <row r="29" spans="1:3" x14ac:dyDescent="0.35">
      <c r="A29" s="3" t="s">
        <v>2</v>
      </c>
      <c r="B29" s="3" t="s">
        <v>3</v>
      </c>
    </row>
    <row r="30" spans="1:3" x14ac:dyDescent="0.35">
      <c r="A30" s="3" t="s">
        <v>4</v>
      </c>
      <c r="B30" s="3" t="s">
        <v>5</v>
      </c>
    </row>
    <row r="31" spans="1:3" x14ac:dyDescent="0.35">
      <c r="A31" s="4" t="s">
        <v>6</v>
      </c>
      <c r="B31" s="4" t="s">
        <v>26</v>
      </c>
    </row>
    <row r="32" spans="1:3" x14ac:dyDescent="0.35">
      <c r="A32" s="3" t="s">
        <v>8</v>
      </c>
      <c r="B32" s="3" t="s">
        <v>9</v>
      </c>
    </row>
    <row r="34" spans="1:3" ht="22" customHeight="1" x14ac:dyDescent="0.35">
      <c r="A34" s="6" t="s">
        <v>12</v>
      </c>
      <c r="B34" s="5" t="s">
        <v>10</v>
      </c>
      <c r="C34" s="5" t="s">
        <v>11</v>
      </c>
    </row>
    <row r="35" spans="1:3" x14ac:dyDescent="0.35">
      <c r="A35" s="7" t="s">
        <v>13</v>
      </c>
      <c r="B35" s="8">
        <v>6660</v>
      </c>
      <c r="C35" s="8">
        <v>4720</v>
      </c>
    </row>
    <row r="36" spans="1:3" x14ac:dyDescent="0.35">
      <c r="A36" s="7" t="s">
        <v>14</v>
      </c>
      <c r="B36" s="8">
        <v>4030</v>
      </c>
      <c r="C36" s="8">
        <v>2905</v>
      </c>
    </row>
    <row r="37" spans="1:3" x14ac:dyDescent="0.35">
      <c r="A37" s="7" t="s">
        <v>15</v>
      </c>
      <c r="B37" s="8">
        <v>3825</v>
      </c>
      <c r="C37" s="8">
        <v>3125</v>
      </c>
    </row>
    <row r="38" spans="1:3" x14ac:dyDescent="0.35">
      <c r="A38" s="7" t="s">
        <v>16</v>
      </c>
      <c r="B38" s="8">
        <v>3780</v>
      </c>
      <c r="C38" s="8">
        <v>3550</v>
      </c>
    </row>
    <row r="39" spans="1:3" x14ac:dyDescent="0.35">
      <c r="A39" s="7" t="s">
        <v>17</v>
      </c>
      <c r="B39" s="8">
        <v>3355</v>
      </c>
      <c r="C39" s="8">
        <v>3300</v>
      </c>
    </row>
    <row r="40" spans="1:3" x14ac:dyDescent="0.35">
      <c r="A40" s="7" t="s">
        <v>18</v>
      </c>
      <c r="B40" s="8">
        <v>2735</v>
      </c>
      <c r="C40" s="8">
        <v>2510</v>
      </c>
    </row>
    <row r="41" spans="1:3" x14ac:dyDescent="0.35">
      <c r="A41" s="7" t="s">
        <v>19</v>
      </c>
      <c r="B41" s="8">
        <v>2475</v>
      </c>
      <c r="C41" s="8">
        <v>1905</v>
      </c>
    </row>
    <row r="42" spans="1:3" x14ac:dyDescent="0.35">
      <c r="A42" s="7" t="s">
        <v>20</v>
      </c>
      <c r="B42" s="8">
        <v>2270</v>
      </c>
      <c r="C42" s="8">
        <v>1695</v>
      </c>
    </row>
    <row r="43" spans="1:3" x14ac:dyDescent="0.35">
      <c r="A43" s="7" t="s">
        <v>21</v>
      </c>
      <c r="B43" s="8">
        <v>2060</v>
      </c>
      <c r="C43" s="8">
        <v>1510</v>
      </c>
    </row>
    <row r="44" spans="1:3" x14ac:dyDescent="0.35">
      <c r="A44" s="7" t="s">
        <v>22</v>
      </c>
      <c r="B44" s="8">
        <v>485</v>
      </c>
      <c r="C44" s="8">
        <v>325</v>
      </c>
    </row>
    <row r="46" spans="1:3" x14ac:dyDescent="0.35">
      <c r="A46" s="9" t="s">
        <v>23</v>
      </c>
    </row>
    <row r="47" spans="1:3" x14ac:dyDescent="0.35">
      <c r="A47" s="9" t="s">
        <v>24</v>
      </c>
    </row>
    <row r="48" spans="1:3" x14ac:dyDescent="0.35">
      <c r="A48" s="9"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62F2C-459F-4D08-9E13-9C2713D6FFDA}">
  <dimension ref="A1:E21"/>
  <sheetViews>
    <sheetView workbookViewId="0">
      <selection activeCell="D14" sqref="D14"/>
    </sheetView>
  </sheetViews>
  <sheetFormatPr defaultRowHeight="14.5" x14ac:dyDescent="0.35"/>
  <cols>
    <col min="1" max="1" width="47.453125" bestFit="1" customWidth="1"/>
    <col min="2" max="2" width="11.6328125" customWidth="1"/>
  </cols>
  <sheetData>
    <row r="1" spans="1:5" x14ac:dyDescent="0.35">
      <c r="A1" t="s">
        <v>31</v>
      </c>
      <c r="B1" t="s">
        <v>29</v>
      </c>
      <c r="C1" t="s">
        <v>30</v>
      </c>
    </row>
    <row r="2" spans="1:5" x14ac:dyDescent="0.35">
      <c r="A2" t="s">
        <v>27</v>
      </c>
      <c r="B2" t="s">
        <v>13</v>
      </c>
      <c r="C2" s="10">
        <f>raw_data!B35-raw_data!B10</f>
        <v>535</v>
      </c>
    </row>
    <row r="3" spans="1:5" x14ac:dyDescent="0.35">
      <c r="A3" t="s">
        <v>27</v>
      </c>
      <c r="B3" t="s">
        <v>14</v>
      </c>
      <c r="C3" s="10">
        <f>raw_data!B36-raw_data!B11</f>
        <v>75</v>
      </c>
    </row>
    <row r="4" spans="1:5" x14ac:dyDescent="0.35">
      <c r="A4" t="s">
        <v>27</v>
      </c>
      <c r="B4" t="s">
        <v>15</v>
      </c>
      <c r="C4" s="10">
        <f>raw_data!B37-raw_data!B12</f>
        <v>40</v>
      </c>
    </row>
    <row r="5" spans="1:5" x14ac:dyDescent="0.35">
      <c r="A5" t="s">
        <v>27</v>
      </c>
      <c r="B5" t="s">
        <v>16</v>
      </c>
      <c r="C5" s="10">
        <f>raw_data!B38-raw_data!B13</f>
        <v>-70</v>
      </c>
    </row>
    <row r="6" spans="1:5" x14ac:dyDescent="0.35">
      <c r="A6" t="s">
        <v>27</v>
      </c>
      <c r="B6" t="s">
        <v>17</v>
      </c>
      <c r="C6" s="10">
        <f>raw_data!B39-raw_data!B14</f>
        <v>-50</v>
      </c>
    </row>
    <row r="7" spans="1:5" x14ac:dyDescent="0.35">
      <c r="A7" t="s">
        <v>27</v>
      </c>
      <c r="B7" t="s">
        <v>18</v>
      </c>
      <c r="C7" s="10">
        <f>raw_data!B40-raw_data!B15</f>
        <v>40</v>
      </c>
    </row>
    <row r="8" spans="1:5" x14ac:dyDescent="0.35">
      <c r="A8" t="s">
        <v>27</v>
      </c>
      <c r="B8" t="s">
        <v>19</v>
      </c>
      <c r="C8" s="10">
        <f>raw_data!B41-raw_data!B16</f>
        <v>20</v>
      </c>
    </row>
    <row r="9" spans="1:5" x14ac:dyDescent="0.35">
      <c r="A9" t="s">
        <v>27</v>
      </c>
      <c r="B9" t="s">
        <v>20</v>
      </c>
      <c r="C9" s="10">
        <f>raw_data!B42-raw_data!B17</f>
        <v>20</v>
      </c>
    </row>
    <row r="10" spans="1:5" x14ac:dyDescent="0.35">
      <c r="A10" t="s">
        <v>27</v>
      </c>
      <c r="B10" t="s">
        <v>21</v>
      </c>
      <c r="C10" s="10">
        <f>raw_data!B43-raw_data!B18</f>
        <v>75</v>
      </c>
    </row>
    <row r="11" spans="1:5" x14ac:dyDescent="0.35">
      <c r="A11" t="s">
        <v>27</v>
      </c>
      <c r="B11" t="s">
        <v>22</v>
      </c>
      <c r="C11" s="10">
        <f>raw_data!B44-raw_data!B19</f>
        <v>-30</v>
      </c>
      <c r="E11" s="10"/>
    </row>
    <row r="12" spans="1:5" x14ac:dyDescent="0.35">
      <c r="A12" t="s">
        <v>28</v>
      </c>
      <c r="B12" t="s">
        <v>13</v>
      </c>
      <c r="C12" s="10">
        <f>raw_data!C35-raw_data!C10</f>
        <v>530</v>
      </c>
    </row>
    <row r="13" spans="1:5" x14ac:dyDescent="0.35">
      <c r="A13" t="s">
        <v>28</v>
      </c>
      <c r="B13" t="s">
        <v>14</v>
      </c>
      <c r="C13" s="10">
        <f>raw_data!C36-raw_data!C11</f>
        <v>160</v>
      </c>
    </row>
    <row r="14" spans="1:5" x14ac:dyDescent="0.35">
      <c r="A14" t="s">
        <v>28</v>
      </c>
      <c r="B14" t="s">
        <v>15</v>
      </c>
      <c r="C14" s="10">
        <f>raw_data!C37-raw_data!C12</f>
        <v>-235</v>
      </c>
    </row>
    <row r="15" spans="1:5" x14ac:dyDescent="0.35">
      <c r="A15" t="s">
        <v>28</v>
      </c>
      <c r="B15" t="s">
        <v>16</v>
      </c>
      <c r="C15" s="10">
        <f>raw_data!C38-raw_data!C13</f>
        <v>-55</v>
      </c>
    </row>
    <row r="16" spans="1:5" x14ac:dyDescent="0.35">
      <c r="A16" t="s">
        <v>28</v>
      </c>
      <c r="B16" t="s">
        <v>17</v>
      </c>
      <c r="C16" s="10">
        <f>raw_data!C39-raw_data!C14</f>
        <v>-95</v>
      </c>
    </row>
    <row r="17" spans="1:3" x14ac:dyDescent="0.35">
      <c r="A17" t="s">
        <v>28</v>
      </c>
      <c r="B17" t="s">
        <v>18</v>
      </c>
      <c r="C17" s="10">
        <f>raw_data!C40-raw_data!C15</f>
        <v>35</v>
      </c>
    </row>
    <row r="18" spans="1:3" x14ac:dyDescent="0.35">
      <c r="A18" t="s">
        <v>28</v>
      </c>
      <c r="B18" t="s">
        <v>19</v>
      </c>
      <c r="C18" s="10">
        <f>raw_data!C41-raw_data!C16</f>
        <v>-140</v>
      </c>
    </row>
    <row r="19" spans="1:3" x14ac:dyDescent="0.35">
      <c r="A19" t="s">
        <v>28</v>
      </c>
      <c r="B19" t="s">
        <v>20</v>
      </c>
      <c r="C19" s="10">
        <f>raw_data!C42-raw_data!C17</f>
        <v>80</v>
      </c>
    </row>
    <row r="20" spans="1:3" x14ac:dyDescent="0.35">
      <c r="A20" t="s">
        <v>28</v>
      </c>
      <c r="B20" t="s">
        <v>21</v>
      </c>
      <c r="C20" s="10">
        <f>raw_data!C43-raw_data!C18</f>
        <v>65</v>
      </c>
    </row>
    <row r="21" spans="1:3" x14ac:dyDescent="0.35">
      <c r="A21" t="s">
        <v>28</v>
      </c>
      <c r="B21" t="s">
        <v>22</v>
      </c>
      <c r="C21" s="10">
        <f>raw_data!C44-raw_data!C19</f>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9421D9-F9F7-4BE8-9261-92B44479F6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2026-05-05T16:00:00Z</dcterms:created>
  <dcterms:modified xsi:type="dcterms:W3CDTF">2026-05-06T15:35:09Z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