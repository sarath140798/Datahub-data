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di353\Downloads\"/>
    </mc:Choice>
  </mc:AlternateContent>
  <xr:revisionPtr revIDLastSave="0" documentId="13_ncr:1_{60593A0F-FA9A-427F-97C4-F64AA91C6014}" xr6:coauthVersionLast="47" xr6:coauthVersionMax="47" xr10:uidLastSave="{00000000-0000-0000-0000-000000000000}"/>
  <bookViews>
    <workbookView xWindow="-110" yWindow="-110" windowWidth="19420" windowHeight="11500" activeTab="1" xr2:uid="{00000000-000D-0000-FFFF-FFFF00000000}"/>
  </bookViews>
  <sheets>
    <sheet name="Metadata" sheetId="8" r:id="rId1"/>
    <sheet name="Net-commute" sheetId="6" r:id="rId2"/>
    <sheet name="Data" sheetId="1" r:id="rId3"/>
    <sheet name="Workplace analysis" sheetId="3" r:id="rId4"/>
    <sheet name="Sheet1" sheetId="2" r:id="rId5"/>
    <sheet name="Residence analysis" sheetId="5" r:id="rId6"/>
    <sheet name="Sheet2" sheetId="4" r:id="rId7"/>
    <sheet name="Data1" sheetId="7" r:id="rId8"/>
  </sheets>
  <definedNames>
    <definedName name="ExternalData_1" localSheetId="1" hidden="1">'Net-commute'!#REF!</definedName>
    <definedName name="ExternalData_1" localSheetId="5" hidden="1">'Residence analysis'!$A$1:$N$5</definedName>
    <definedName name="ExternalData_1" localSheetId="3" hidden="1">'Workplace analysis'!$A$1:$N$5</definedName>
    <definedName name="ExternalData_2" localSheetId="1" hidden="1">'Net-commute'!#REF!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4" l="1"/>
  <c r="N4" i="4"/>
  <c r="N5" i="4"/>
  <c r="N6" i="4"/>
  <c r="N7" i="4"/>
  <c r="N8" i="4"/>
  <c r="N9" i="4"/>
  <c r="N10" i="4"/>
  <c r="N11" i="4"/>
  <c r="N12" i="4"/>
  <c r="N13" i="4"/>
  <c r="N14" i="4"/>
  <c r="N15" i="4"/>
  <c r="N16" i="4"/>
  <c r="N17" i="4"/>
  <c r="N18" i="4"/>
  <c r="N19" i="4"/>
  <c r="N20" i="4"/>
  <c r="N21" i="4"/>
  <c r="N22" i="4"/>
  <c r="N23" i="4"/>
  <c r="N24" i="4"/>
  <c r="N25" i="4"/>
  <c r="N26" i="4"/>
  <c r="N27" i="4"/>
  <c r="N2" i="4"/>
  <c r="N3" i="2"/>
  <c r="N4" i="2"/>
  <c r="N5" i="2"/>
  <c r="N6" i="2"/>
  <c r="N7" i="2"/>
  <c r="N8" i="2"/>
  <c r="N9" i="2"/>
  <c r="N10" i="2"/>
  <c r="N11" i="2"/>
  <c r="N12" i="2"/>
  <c r="N13" i="2"/>
  <c r="N14" i="2"/>
  <c r="N15" i="2"/>
  <c r="N16" i="2"/>
  <c r="N17" i="2"/>
  <c r="N18" i="2"/>
  <c r="N19" i="2"/>
  <c r="N20" i="2"/>
  <c r="N21" i="2"/>
  <c r="N22" i="2"/>
  <c r="N23" i="2"/>
  <c r="N24" i="2"/>
  <c r="N25" i="2"/>
  <c r="N26" i="2"/>
  <c r="N27" i="2"/>
  <c r="N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9DA8AE-A397-4EA7-B397-F94587700944}" keepAlive="1" name="Query - Table2" description="Connection to the 'Table2' query in the workbook." type="5" refreshedVersion="8" background="1" saveData="1">
    <dbPr connection="Provider=Microsoft.Mashup.OleDb.1;Data Source=$Workbook$;Location=Table2;Extended Properties=&quot;&quot;" command="SELECT * FROM [Table2]"/>
  </connection>
  <connection id="2" xr16:uid="{F4AD7564-B129-4B47-B915-D38556E96C16}" keepAlive="1" name="Query - Table2 (2)" description="Connection to the 'Table2 (2)' query in the workbook." type="5" refreshedVersion="8" background="1" saveData="1">
    <dbPr connection="Provider=Microsoft.Mashup.OleDb.1;Data Source=$Workbook$;Location=&quot;Table2 (2)&quot;;Extended Properties=&quot;&quot;" command="SELECT * FROM [Table2 (2)]"/>
  </connection>
  <connection id="3" xr16:uid="{74E9079A-AA53-4D5D-82EA-579515FD7401}" keepAlive="1" name="Query - Table4" description="Connection to the 'Table4' query in the workbook." type="5" refreshedVersion="8" background="1" saveData="1">
    <dbPr connection="Provider=Microsoft.Mashup.OleDb.1;Data Source=$Workbook$;Location=Table4;Extended Properties=&quot;&quot;" command="SELECT * FROM [Table4]"/>
  </connection>
  <connection id="4" xr16:uid="{5BE970BB-D498-43EA-BC27-508A1EBD9AA1}" keepAlive="1" name="Query - Table4 (2)" description="Connection to the 'Table4 (2)' query in the workbook." type="5" refreshedVersion="8" background="1" saveData="1">
    <dbPr connection="Provider=Microsoft.Mashup.OleDb.1;Data Source=$Workbook$;Location=&quot;Table4 (2)&quot;;Extended Properties=&quot;&quot;" command="SELECT * FROM [Table4 (2)]"/>
  </connection>
</connections>
</file>

<file path=xl/sharedStrings.xml><?xml version="1.0" encoding="utf-8"?>
<sst xmlns="http://schemas.openxmlformats.org/spreadsheetml/2006/main" count="871" uniqueCount="106">
  <si>
    <t>annual population survey - workplace analysis</t>
  </si>
  <si>
    <t>ONS Crown Copyright Reserved [from Nomis on 10 March 2026]</t>
  </si>
  <si>
    <t>date</t>
  </si>
  <si>
    <t>Oct 2024-Sep 2025</t>
  </si>
  <si>
    <t>confidence</t>
  </si>
  <si>
    <t>95% confidence interval (+/-)</t>
  </si>
  <si>
    <t>Bath and North East Somerset</t>
  </si>
  <si>
    <t>Bristol, City of</t>
  </si>
  <si>
    <t>Cheltenham</t>
  </si>
  <si>
    <t>Cotswold</t>
  </si>
  <si>
    <t>Forest of Dean</t>
  </si>
  <si>
    <t>Gloucester</t>
  </si>
  <si>
    <t>North Somerset</t>
  </si>
  <si>
    <t>South Gloucestershire</t>
  </si>
  <si>
    <t>Stroud</t>
  </si>
  <si>
    <t>Swindon</t>
  </si>
  <si>
    <t>Tewkesbury</t>
  </si>
  <si>
    <t>Wiltshire</t>
  </si>
  <si>
    <t>Cell</t>
  </si>
  <si>
    <t>number</t>
  </si>
  <si>
    <t>conf</t>
  </si>
  <si>
    <t>T09b:1 (All people - Corporate Managers and Directors (SOC2020) : All people )</t>
  </si>
  <si>
    <t>*</t>
  </si>
  <si>
    <t>T09b:4 (All people - Other Managers and Proprietors (SOC2020) : All people )</t>
  </si>
  <si>
    <t>!</t>
  </si>
  <si>
    <t>T09b:7 (All people - Science, Research, Engineering and Technology Professionals (SOC2020) : All people )</t>
  </si>
  <si>
    <t>T09b:10 (All people - Health Professionals (SOC2020) : All people )</t>
  </si>
  <si>
    <t>T09b:13 (All people - Teaching and Other Educational Professionals (SOC2020) : All people )</t>
  </si>
  <si>
    <t>T09b:16 (All people - Business, Media and Public Service Professionals (SOC2020) : All people )</t>
  </si>
  <si>
    <t>T09b:19 (All people - Science, Engineering and Technology Associate Professionals (SOC2020) : All people )</t>
  </si>
  <si>
    <t>T09b:22 (All people - Health and Social Care Associate Professionals (SOC2020) : All people )</t>
  </si>
  <si>
    <t>T09b:25 (All people - Protective Service Occupations (SOC2020) : All people )</t>
  </si>
  <si>
    <t>T09b:28 (All people - Culture, Media and Sports Occupations (SOC2020) : All people )</t>
  </si>
  <si>
    <t>T09b:31 (All people - Business and Public Service Associate Professionals (SOC2020) : All people )</t>
  </si>
  <si>
    <t>T09b:34 (All people - Administrative Occupations (SOC2020) : All people )</t>
  </si>
  <si>
    <t>T09b:37 (All people - Secretarial and Related Occupations (SOC2020) : All people )</t>
  </si>
  <si>
    <t>T09b:40 (All people - Skilled Agricultural and Related Trades (SOC2020) : All people )</t>
  </si>
  <si>
    <t>T09b:43 (All people - Skilled Metal, Electrical and Electronic Trades (SOC2020) : All people )</t>
  </si>
  <si>
    <t>T09b:46 (All people - Skilled Construction and Building Trades (SOC2020) : All people )</t>
  </si>
  <si>
    <t>T09b:49 (All people - Textiles, Printing and Other Skilled Trades (SOC2020) : All people )</t>
  </si>
  <si>
    <t>T09b:52 (All people - Caring Personal Service Occupations (SOC2020) : All people )</t>
  </si>
  <si>
    <t>T09b:55 (All people - Leisure, Travel and Related Personal Service Occupations (SOC2020) : All people )</t>
  </si>
  <si>
    <t>T09b:58 (All people - Community And Civil Enforcement Occupations (SOC2020) : All people )</t>
  </si>
  <si>
    <t>T09b:61 (All people - Sales Occupations (SOC2020) : All people )</t>
  </si>
  <si>
    <t>T09b:64 (All people - Customer Service Occupations (SOC2020) : All people )</t>
  </si>
  <si>
    <t>T09b:67 (All people - Process, Plant and Machine Operatives (SOC2020) : All people )</t>
  </si>
  <si>
    <t>T09b:70 (All people - Transport and Mobile Machine Drivers and Operatives (SOC2020) : All people )</t>
  </si>
  <si>
    <t>T09b:73 (All people - Elementary Trades and Related Occupations (SOC2020) : All people )</t>
  </si>
  <si>
    <t>T09b:76 (All people - Elementary Administration and Service Occupations (SOC2020) : All people )</t>
  </si>
  <si>
    <t>! Estimate and confidence interval not available since the group sample size is zero or disclosive (0-2).</t>
  </si>
  <si>
    <t>* Estimate and confidence interval unreliable since the group sample size is small (3-9).</t>
  </si>
  <si>
    <t>group</t>
  </si>
  <si>
    <t xml:space="preserve">Corporate Managers and Directors </t>
  </si>
  <si>
    <t xml:space="preserve">Other Managers and Proprietors </t>
  </si>
  <si>
    <t xml:space="preserve">Science, Research, Engineering and Technology Professionals </t>
  </si>
  <si>
    <t xml:space="preserve">Health Professionals </t>
  </si>
  <si>
    <t xml:space="preserve">Teaching and Other Educational Professionals </t>
  </si>
  <si>
    <t xml:space="preserve">Business, Media and Public Service Professionals </t>
  </si>
  <si>
    <t xml:space="preserve">Science, Engineering and Technology Associate Professionals </t>
  </si>
  <si>
    <t xml:space="preserve">Health and Social Care Associate Professionals </t>
  </si>
  <si>
    <t xml:space="preserve">Protective Service Occupations </t>
  </si>
  <si>
    <t xml:space="preserve">Culture, Media and Sports Occupations </t>
  </si>
  <si>
    <t xml:space="preserve">Business and Public Service Associate Professionals </t>
  </si>
  <si>
    <t xml:space="preserve">Administrative Occupations </t>
  </si>
  <si>
    <t xml:space="preserve">Secretarial and Related Occupations </t>
  </si>
  <si>
    <t xml:space="preserve">Skilled Agricultural and Related Trades </t>
  </si>
  <si>
    <t xml:space="preserve">Skilled Metal, Electrical and Electronic Trades </t>
  </si>
  <si>
    <t xml:space="preserve">Skilled Construction and Building Trades </t>
  </si>
  <si>
    <t xml:space="preserve">Textiles, Printing and Other Skilled Trades </t>
  </si>
  <si>
    <t xml:space="preserve">Caring Personal Service Occupations </t>
  </si>
  <si>
    <t xml:space="preserve">Leisure, Travel and Related Personal Service Occupations </t>
  </si>
  <si>
    <t xml:space="preserve">Community And Civil Enforcement Occupations </t>
  </si>
  <si>
    <t xml:space="preserve">Sales Occupations </t>
  </si>
  <si>
    <t xml:space="preserve">Customer Service Occupations </t>
  </si>
  <si>
    <t xml:space="preserve">Process, Plant and Machine Operatives </t>
  </si>
  <si>
    <t xml:space="preserve">Transport and Mobile Machine Drivers and Operatives </t>
  </si>
  <si>
    <t xml:space="preserve">Elementary Trades and Related Occupations </t>
  </si>
  <si>
    <t xml:space="preserve">Elementary Administration and Service Occupations </t>
  </si>
  <si>
    <t>Gloucestershire</t>
  </si>
  <si>
    <t>Tewskesbury</t>
  </si>
  <si>
    <t>Occ_grp</t>
  </si>
  <si>
    <t>Managerial, professional and associate professional</t>
  </si>
  <si>
    <t>Administrative, skilled trades</t>
  </si>
  <si>
    <t>Caring leisure and customer services</t>
  </si>
  <si>
    <t>Process, plant or elementary</t>
  </si>
  <si>
    <t>Area</t>
  </si>
  <si>
    <t>annual population survey</t>
  </si>
  <si>
    <t>Flags</t>
  </si>
  <si>
    <t>Dataset</t>
  </si>
  <si>
    <t>Publication date</t>
  </si>
  <si>
    <t>Link</t>
  </si>
  <si>
    <t>Nomis - Query Tool - annual population survey - workplace analysis</t>
  </si>
  <si>
    <t>Next update</t>
  </si>
  <si>
    <t>Created date</t>
  </si>
  <si>
    <t>Last updated</t>
  </si>
  <si>
    <t>Geography used for analysis</t>
  </si>
  <si>
    <t>Publisher</t>
  </si>
  <si>
    <t>Tables</t>
  </si>
  <si>
    <t xml:space="preserve">Aggregation method  </t>
  </si>
  <si>
    <t>Data information:</t>
  </si>
  <si>
    <t>Office for National Statistics (ONS)</t>
  </si>
  <si>
    <t>Annual Population Survey (APS) - Workplace and Residence Based Employment by Occupation (SOC2020)</t>
  </si>
  <si>
    <t>APS Workplace Analysis - Employment by occupation (SOC2020)
APS Residence Analysis - Employment by occupation (SOC2020)</t>
  </si>
  <si>
    <t>Local authority areas within the Greater West of England (Bath and North East Somerset, Bristol, Gloucestershire, North Somerset, South Gloucestershire, Swindon and Wiltshire), including lower-tier local authorities within Gloucestershire.</t>
  </si>
  <si>
    <t>Net in-commuting is calculated by subtracting residence-based employment estimates from workplace-based estimates for each occupation group and local authority area. SOC2020 occupation groups are aggregated into four broad categories.</t>
  </si>
  <si>
    <t>Estimates are derived from the ONS Annual Population Survey for the period Oct 2024 to Sept 2025. The APS is a sample survey of households and provides estimates of employment by place of residence place of work. Difference between workplace and residence employment represent the net balance of commuting into or out of each local authority for each occupational group. 
Figures are rounded and subject to sampling variability; Confidence as published by Nomis: 95% confidence intervals (±).
Values marked “!” in the original Nomis output (not available due to zero or disclosive sample sizes (0–2)) have been recorded as 0 in the processed dataset. Confidence interval fields are not used in the analytical outputs.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</si>
</sst>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indexed="8"/>
      <name val="Aptos Narrow"/>
      <family val="2"/>
      <scheme val="minor"/>
    </font>
    <font>
      <sz val="10"/>
      <name val="Arial"/>
      <family val="2"/>
    </font>
    <font>
      <b/>
      <sz val="12"/>
      <name val="Arial"/>
      <family val="2"/>
    </font>
    <font>
      <sz val="10"/>
      <name val="Arial"/>
      <family val="2"/>
    </font>
    <font>
      <sz val="10"/>
      <name val="Arial"/>
      <family val="2"/>
    </font>
    <font>
      <b/>
      <sz val="10"/>
      <name val="Arial"/>
      <family val="2"/>
    </font>
    <font>
      <b/>
      <sz val="10"/>
      <name val="Arial"/>
      <family val="2"/>
    </font>
    <font>
      <b/>
      <sz val="10"/>
      <name val="Arial"/>
      <family val="2"/>
    </font>
    <font>
      <sz val="10"/>
      <name val="Arial"/>
      <family val="2"/>
    </font>
    <font>
      <sz val="10"/>
      <name val="Arial"/>
      <family val="2"/>
    </font>
    <font>
      <sz val="10"/>
      <name val="Arial"/>
      <family val="2"/>
    </font>
    <font>
      <sz val="11"/>
      <color indexed="8"/>
      <name val="Aptos Narrow"/>
      <family val="2"/>
      <scheme val="minor"/>
    </font>
    <font>
      <b/>
      <sz val="11"/>
      <color theme="1"/>
      <name val="Aptos Narrow"/>
      <family val="2"/>
      <scheme val="minor"/>
    </font>
    <font>
      <u/>
      <sz val="11"/>
      <color theme="10"/>
      <name val="Aptos Narrow"/>
      <family val="2"/>
      <scheme val="minor"/>
    </font>
  </fonts>
  <fills count="3">
    <fill>
      <patternFill patternType="none"/>
    </fill>
    <fill>
      <patternFill patternType="gray125"/>
    </fill>
    <fill>
      <patternFill patternType="none">
        <fgColor rgb="FFFF00FF"/>
      </patternFill>
    </fill>
  </fills>
  <borders count="1">
    <border>
      <left/>
      <right/>
      <top/>
      <bottom/>
      <diagonal/>
    </border>
  </borders>
  <cellStyleXfs count="7">
    <xf numFmtId="0" fontId="0" fillId="0" borderId="0"/>
    <xf numFmtId="0" fontId="11" fillId="2" borderId="0"/>
    <xf numFmtId="0" fontId="11" fillId="2" borderId="0"/>
    <xf numFmtId="0" fontId="11" fillId="2" borderId="0"/>
    <xf numFmtId="0" fontId="13" fillId="2" borderId="0" applyNumberFormat="0" applyFill="0" applyBorder="0" applyAlignment="0" applyProtection="0"/>
    <xf numFmtId="0" fontId="11" fillId="2" borderId="0"/>
    <xf numFmtId="0" fontId="11" fillId="2" borderId="0"/>
  </cellStyleXfs>
  <cellXfs count="36">
    <xf numFmtId="0" fontId="0" fillId="0" borderId="0" xfId="0"/>
    <xf numFmtId="0" fontId="2" fillId="0" borderId="0" xfId="0" applyFont="1" applyAlignment="1">
      <alignment horizontal="left" vertical="center"/>
    </xf>
    <xf numFmtId="0" fontId="3" fillId="0" borderId="0" xfId="0" applyFont="1"/>
    <xf numFmtId="0" fontId="4" fillId="0" borderId="0" xfId="0" applyFont="1" applyAlignment="1">
      <alignment horizontal="left"/>
    </xf>
    <xf numFmtId="0" fontId="6" fillId="0" borderId="0" xfId="0" applyFont="1" applyAlignment="1">
      <alignment horizontal="right" vertical="center"/>
    </xf>
    <xf numFmtId="0" fontId="7" fillId="0" borderId="0" xfId="0" applyFont="1" applyAlignment="1">
      <alignment horizontal="left" vertical="center" wrapText="1"/>
    </xf>
    <xf numFmtId="0" fontId="8" fillId="0" borderId="0" xfId="0" applyNumberFormat="1" applyFont="1" applyAlignment="1">
      <alignment horizontal="left"/>
    </xf>
    <xf numFmtId="3" fontId="9" fillId="0" borderId="0" xfId="0" applyNumberFormat="1" applyFont="1" applyAlignment="1">
      <alignment horizontal="right"/>
    </xf>
    <xf numFmtId="0" fontId="10" fillId="0" borderId="0" xfId="0" applyFont="1"/>
    <xf numFmtId="0" fontId="0" fillId="0" borderId="0" xfId="0"/>
    <xf numFmtId="0" fontId="5" fillId="0" borderId="0" xfId="0" applyFont="1" applyAlignment="1">
      <alignment vertical="center" wrapText="1"/>
    </xf>
    <xf numFmtId="3" fontId="0" fillId="0" borderId="0" xfId="0" applyNumberFormat="1"/>
    <xf numFmtId="0" fontId="11" fillId="2" borderId="0" xfId="1"/>
    <xf numFmtId="0" fontId="1" fillId="2" borderId="0" xfId="1" applyNumberFormat="1" applyFont="1" applyAlignment="1">
      <alignment horizontal="left"/>
    </xf>
    <xf numFmtId="3" fontId="1" fillId="2" borderId="0" xfId="1" applyNumberFormat="1" applyFont="1" applyAlignment="1">
      <alignment horizontal="right"/>
    </xf>
    <xf numFmtId="0" fontId="5" fillId="2" borderId="0" xfId="1" applyFont="1" applyAlignment="1">
      <alignment vertical="center" wrapText="1"/>
    </xf>
    <xf numFmtId="0" fontId="5" fillId="0" borderId="0" xfId="0" applyFont="1" applyAlignment="1">
      <alignment horizontal="center" vertical="center" wrapText="1"/>
    </xf>
    <xf numFmtId="0" fontId="0" fillId="0" borderId="0" xfId="0"/>
    <xf numFmtId="0" fontId="11" fillId="2" borderId="0" xfId="2"/>
    <xf numFmtId="0" fontId="2" fillId="2" borderId="0" xfId="2" applyFont="1" applyAlignment="1">
      <alignment horizontal="left" vertical="center"/>
    </xf>
    <xf numFmtId="0" fontId="1" fillId="2" borderId="0" xfId="2" applyFont="1"/>
    <xf numFmtId="0" fontId="1" fillId="2" borderId="0" xfId="2" applyFont="1" applyAlignment="1">
      <alignment horizontal="left"/>
    </xf>
    <xf numFmtId="0" fontId="5" fillId="2" borderId="0" xfId="2" applyFont="1" applyAlignment="1">
      <alignment horizontal="right" vertical="center"/>
    </xf>
    <xf numFmtId="0" fontId="5" fillId="2" borderId="0" xfId="2" applyFont="1" applyAlignment="1">
      <alignment horizontal="left" vertical="center" wrapText="1"/>
    </xf>
    <xf numFmtId="0" fontId="1" fillId="2" borderId="0" xfId="2" applyNumberFormat="1" applyFont="1" applyAlignment="1">
      <alignment horizontal="left"/>
    </xf>
    <xf numFmtId="3" fontId="1" fillId="2" borderId="0" xfId="2" applyNumberFormat="1" applyFont="1" applyAlignment="1">
      <alignment horizontal="right"/>
    </xf>
    <xf numFmtId="0" fontId="5" fillId="2" borderId="0" xfId="2" applyFont="1" applyAlignment="1">
      <alignment horizontal="center" vertical="center" wrapText="1"/>
    </xf>
    <xf numFmtId="0" fontId="11" fillId="2" borderId="0" xfId="2"/>
    <xf numFmtId="17" fontId="0" fillId="0" borderId="0" xfId="0" applyNumberFormat="1"/>
    <xf numFmtId="0" fontId="0" fillId="0" borderId="0" xfId="0" applyAlignment="1">
      <alignment wrapText="1"/>
    </xf>
    <xf numFmtId="0" fontId="12" fillId="0" borderId="0" xfId="0" applyFont="1"/>
    <xf numFmtId="14" fontId="0" fillId="0" borderId="0" xfId="0" applyNumberFormat="1"/>
    <xf numFmtId="0" fontId="12" fillId="2" borderId="0" xfId="1" applyFont="1" applyAlignment="1">
      <alignment horizontal="left" wrapText="1"/>
    </xf>
    <xf numFmtId="0" fontId="13" fillId="2" borderId="0" xfId="4"/>
    <xf numFmtId="0" fontId="1" fillId="0" borderId="0" xfId="0" applyFont="1"/>
    <xf numFmtId="0" fontId="11" fillId="2" borderId="0" xfId="6" applyAlignment="1">
      <alignment wrapText="1"/>
    </xf>
  </cellXfs>
  <cellStyles count="7">
    <cellStyle name="Hyperlink" xfId="4" builtinId="8"/>
    <cellStyle name="Normal" xfId="0" builtinId="0"/>
    <cellStyle name="Normal 2" xfId="1" xr:uid="{B299873B-A689-4137-88A6-48F054EBF047}"/>
    <cellStyle name="Normal 3" xfId="2" xr:uid="{9C8BFD6B-A18F-49BD-91DC-13159F26AFB8}"/>
    <cellStyle name="Normal 4" xfId="3" xr:uid="{09ED9237-FA5E-44F6-AE16-7CC60426F475}"/>
    <cellStyle name="Normal 5" xfId="5" xr:uid="{400A28F1-C1CF-4806-A047-CE85BB190041}"/>
    <cellStyle name="Normal 6" xfId="6" xr:uid="{15B4BC20-2A43-428B-B480-4A36500757E8}"/>
  </cellStyles>
  <dxfs count="32">
    <dxf>
      <numFmt numFmtId="3" formatCode="#,##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right" vertical="bottom" textRotation="0" wrapText="0" indent="0" justifyLastLine="0" shrinkToFit="0" readingOrder="0"/>
    </dxf>
    <dxf>
      <font>
        <b/>
        <i val="0"/>
        <strike val="0"/>
        <condense val="0"/>
        <extend val="0"/>
        <outline val="0"/>
        <shadow val="0"/>
        <u val="none"/>
        <vertAlign val="baseline"/>
        <sz val="10"/>
        <color auto="1"/>
        <name val="Arial"/>
        <family val="2"/>
        <scheme val="none"/>
      </font>
      <alignment horizontal="general" vertical="center" textRotation="0" wrapText="1" indent="0" justifyLastLine="0" shrinkToFit="0" readingOrder="0"/>
    </dxf>
    <dxf>
      <numFmt numFmtId="3" formatCode="#,##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right" vertical="bottom" textRotation="0" wrapText="0" indent="0" justifyLastLine="0" shrinkToFit="0" readingOrder="0"/>
    </dxf>
    <dxf>
      <font>
        <b/>
        <i val="0"/>
        <strike val="0"/>
        <condense val="0"/>
        <extend val="0"/>
        <outline val="0"/>
        <shadow val="0"/>
        <u val="none"/>
        <vertAlign val="baseline"/>
        <sz val="10"/>
        <color auto="1"/>
        <name val="Arial"/>
        <family val="2"/>
        <scheme val="none"/>
      </font>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7BFCBC-C121-4746-A856-83D2338C9CB7}" autoFormatId="16" applyNumberFormats="0" applyBorderFormats="0" applyFontFormats="0" applyPatternFormats="0" applyAlignmentFormats="0" applyWidthHeightFormats="0">
  <queryTableRefresh nextId="17">
    <queryTableFields count="14">
      <queryTableField id="15" name="Occ_grp" tableColumnId="15"/>
      <queryTableField id="2" name="Bath and North East Somerset" tableColumnId="2"/>
      <queryTableField id="3" name="Bristol, City of" tableColumnId="3"/>
      <queryTableField id="4" name="Cheltenham" tableColumnId="4"/>
      <queryTableField id="5" name="Cotswold" tableColumnId="5"/>
      <queryTableField id="6" name="Forest of Dean" tableColumnId="6"/>
      <queryTableField id="7" name="Gloucester" tableColumnId="7"/>
      <queryTableField id="8" name="North Somerset" tableColumnId="8"/>
      <queryTableField id="9" name="South Gloucestershire" tableColumnId="9"/>
      <queryTableField id="10" name="Stroud" tableColumnId="10"/>
      <queryTableField id="11" name="Swindon" tableColumnId="11"/>
      <queryTableField id="12" name="Tewskesbury" tableColumnId="12"/>
      <queryTableField id="13" name="Wiltshire" tableColumnId="13"/>
      <queryTableField id="14" name="Gloucestershire" tableColumnId="1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4F5F8D67-23D9-4035-868F-1B24910FBC59}" autoFormatId="16" applyNumberFormats="0" applyBorderFormats="0" applyFontFormats="0" applyPatternFormats="0" applyAlignmentFormats="0" applyWidthHeightFormats="0">
  <queryTableRefresh nextId="15">
    <queryTableFields count="14">
      <queryTableField id="1" name="Occ_grp" tableColumnId="1"/>
      <queryTableField id="2" name="Bath and North East Somerset" tableColumnId="2"/>
      <queryTableField id="3" name="Bristol, City of" tableColumnId="3"/>
      <queryTableField id="4" name="Cheltenham" tableColumnId="4"/>
      <queryTableField id="5" name="Cotswold" tableColumnId="5"/>
      <queryTableField id="6" name="Forest of Dean" tableColumnId="6"/>
      <queryTableField id="7" name="Gloucester" tableColumnId="7"/>
      <queryTableField id="8" name="North Somerset" tableColumnId="8"/>
      <queryTableField id="9" name="South Gloucestershire" tableColumnId="9"/>
      <queryTableField id="10" name="Stroud" tableColumnId="10"/>
      <queryTableField id="11" name="Swindon" tableColumnId="11"/>
      <queryTableField id="12" name="Tewskesbury" tableColumnId="12"/>
      <queryTableField id="13" name="Wiltshire" tableColumnId="13"/>
      <queryTableField id="14" name="Gloucestershire"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A208E2B-B7B4-4EC0-B1F5-A43B26C237AF}" name="Table2_1" displayName="Table2_1" ref="A1:N5" tableType="queryTable" totalsRowShown="0">
  <autoFilter ref="A1:N5" xr:uid="{EA208E2B-B7B4-4EC0-B1F5-A43B26C237AF}"/>
  <tableColumns count="14">
    <tableColumn id="15" xr3:uid="{885F5991-B43A-42A5-BEC1-67048BCADDBD}" uniqueName="15" name="Occ_grp" queryTableFieldId="15"/>
    <tableColumn id="2" xr3:uid="{5169D825-2C26-4320-83F4-FEA542E0C1B4}" uniqueName="2" name="Bath and North East Somerset" queryTableFieldId="2"/>
    <tableColumn id="3" xr3:uid="{7D5CBD5F-229D-4766-9F54-EF62BCB90782}" uniqueName="3" name="Bristol, City of" queryTableFieldId="3"/>
    <tableColumn id="4" xr3:uid="{7EEA6139-C502-4C03-9B0B-77DAA92ABA74}" uniqueName="4" name="Cheltenham" queryTableFieldId="4"/>
    <tableColumn id="5" xr3:uid="{238632EC-F163-48D8-A74A-8616028BA2E5}" uniqueName="5" name="Cotswold" queryTableFieldId="5"/>
    <tableColumn id="6" xr3:uid="{2EAA13DC-3D3B-4FA8-AD25-A51896A075B1}" uniqueName="6" name="Forest of Dean" queryTableFieldId="6"/>
    <tableColumn id="7" xr3:uid="{506CD7EF-9469-40A6-AF8C-46FAB5349985}" uniqueName="7" name="Gloucester" queryTableFieldId="7"/>
    <tableColumn id="8" xr3:uid="{E53DD684-E397-48E2-93E8-8008498292B9}" uniqueName="8" name="North Somerset" queryTableFieldId="8"/>
    <tableColumn id="9" xr3:uid="{09AD8D2F-1FC2-476A-AAE4-7073884F027B}" uniqueName="9" name="South Gloucestershire" queryTableFieldId="9"/>
    <tableColumn id="10" xr3:uid="{FE7B1664-668C-47E4-B0B1-F7D8523D9DC5}" uniqueName="10" name="Stroud" queryTableFieldId="10"/>
    <tableColumn id="11" xr3:uid="{3C45D0A5-1CF3-45AD-A1A7-827AAB26D273}" uniqueName="11" name="Swindon" queryTableFieldId="11"/>
    <tableColumn id="12" xr3:uid="{226CB6D5-DA8E-467F-B5FE-EE0F50DD9F22}" uniqueName="12" name="Tewskesbury" queryTableFieldId="12"/>
    <tableColumn id="13" xr3:uid="{96487358-EBDF-4D05-B7C7-38176DBCD599}" uniqueName="13" name="Wiltshire" queryTableFieldId="13"/>
    <tableColumn id="14" xr3:uid="{4CB2A774-F887-48F5-AA03-9D6EBFDE3422}" uniqueName="14" name="Gloucestershire" queryTableFieldId="1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2CD9BF-1E5E-4383-96D5-AAC645F1E47D}" name="Table2" displayName="Table2" ref="A1:N27" totalsRowShown="0" headerRowDxfId="31" dataDxfId="30">
  <autoFilter ref="A1:N27" xr:uid="{4E2CD9BF-1E5E-4383-96D5-AAC645F1E47D}"/>
  <tableColumns count="14">
    <tableColumn id="1" xr3:uid="{34E6AB8A-829C-4937-858B-6CAD6D74D194}" name="group" dataDxfId="29"/>
    <tableColumn id="2" xr3:uid="{2D7CA032-BF6C-4C09-90C1-82BB1C432C6A}" name="Bath and North East Somerset" dataDxfId="28"/>
    <tableColumn id="3" xr3:uid="{919F00D3-6F9C-4D8E-B768-50A769886D9C}" name="Bristol, City of" dataDxfId="27"/>
    <tableColumn id="4" xr3:uid="{02E1AA88-2308-460C-8092-A4842DB22AAB}" name="Cheltenham" dataDxfId="26"/>
    <tableColumn id="5" xr3:uid="{78557FA4-1422-49D3-9195-1636682F31DE}" name="Cotswold" dataDxfId="25"/>
    <tableColumn id="6" xr3:uid="{96466668-9415-4DAF-826C-6C8D52F78DAF}" name="Forest of Dean" dataDxfId="24"/>
    <tableColumn id="7" xr3:uid="{DD0DF888-F361-438C-8A9E-52A29D03EB4C}" name="Gloucester" dataDxfId="23"/>
    <tableColumn id="8" xr3:uid="{8AA4B19D-EA56-425C-B147-78992D3907CA}" name="North Somerset" dataDxfId="22"/>
    <tableColumn id="9" xr3:uid="{C2D8AD1C-508F-496F-AA95-A9E2BDB0FB15}" name="South Gloucestershire" dataDxfId="21"/>
    <tableColumn id="10" xr3:uid="{BF5405C9-B76C-4575-BF43-A4526FAA03DE}" name="Stroud" dataDxfId="20"/>
    <tableColumn id="11" xr3:uid="{72177762-FD70-4E44-8F2E-53AC7FD145B9}" name="Swindon" dataDxfId="19"/>
    <tableColumn id="12" xr3:uid="{4DFFE7E5-889B-4AD4-A5C0-24B5FD3F9F0D}" name="Tewkesbury" dataDxfId="18"/>
    <tableColumn id="13" xr3:uid="{DF0C0121-AA61-420D-9497-B2578056A597}" name="Wiltshire" dataDxfId="17"/>
    <tableColumn id="14" xr3:uid="{305E2CE5-A5D7-4981-A8B9-FAF0FF6FB435}" name="Gloucestershire" dataDxfId="16">
      <calculatedColumnFormula>SUM(D2,E2,F2,G2,J2,L2)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3BFFDE7-23CD-4CE4-B495-DC88DF79ADCE}" name="Table4_1" displayName="Table4_1" ref="A1:N5" tableType="queryTable" totalsRowShown="0">
  <autoFilter ref="A1:N5" xr:uid="{93BFFDE7-23CD-4CE4-B495-DC88DF79ADCE}"/>
  <tableColumns count="14">
    <tableColumn id="1" xr3:uid="{BB2372D1-6DAE-464A-84E6-7FEC685B7539}" uniqueName="1" name="Occ_grp" queryTableFieldId="1"/>
    <tableColumn id="2" xr3:uid="{58EF7567-DBAA-406F-9277-53BA0E41B11B}" uniqueName="2" name="Bath and North East Somerset" queryTableFieldId="2"/>
    <tableColumn id="3" xr3:uid="{045BCBA3-E39E-4E52-BA6E-03E6CB55E149}" uniqueName="3" name="Bristol, City of" queryTableFieldId="3"/>
    <tableColumn id="4" xr3:uid="{40254704-ED0C-4AEA-A03B-B88B6269E102}" uniqueName="4" name="Cheltenham" queryTableFieldId="4"/>
    <tableColumn id="5" xr3:uid="{DFB61F5D-DE4C-4B0F-82FF-2BA5CAF035D1}" uniqueName="5" name="Cotswold" queryTableFieldId="5"/>
    <tableColumn id="6" xr3:uid="{B6CC3E5D-4449-4CB8-A633-50847F40F587}" uniqueName="6" name="Forest of Dean" queryTableFieldId="6"/>
    <tableColumn id="7" xr3:uid="{13D9E016-626E-4E14-AB24-2628B6A0EADF}" uniqueName="7" name="Gloucester" queryTableFieldId="7"/>
    <tableColumn id="8" xr3:uid="{CECB3043-692C-4F70-B924-86B273574268}" uniqueName="8" name="North Somerset" queryTableFieldId="8"/>
    <tableColumn id="9" xr3:uid="{358DA636-CDB9-4063-B2CD-D2423C109D35}" uniqueName="9" name="South Gloucestershire" queryTableFieldId="9"/>
    <tableColumn id="10" xr3:uid="{8AA628C3-63A5-4BB7-B574-89DB5F871431}" uniqueName="10" name="Stroud" queryTableFieldId="10"/>
    <tableColumn id="11" xr3:uid="{EE8CD178-45F4-4387-B173-923D1895F9AB}" uniqueName="11" name="Swindon" queryTableFieldId="11"/>
    <tableColumn id="12" xr3:uid="{9ECF6588-ADFA-4714-B679-353E9CA54138}" uniqueName="12" name="Tewskesbury" queryTableFieldId="12"/>
    <tableColumn id="13" xr3:uid="{3AF4B323-6104-44A2-A6EC-7113B09F53A9}" uniqueName="13" name="Wiltshire" queryTableFieldId="13"/>
    <tableColumn id="14" xr3:uid="{2724AF21-9781-45C9-AE5B-E292DB3D4541}" uniqueName="14" name="Gloucestershire" queryTableFieldId="14"/>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32900B-188E-4D50-8E38-F248EBDAF117}" name="Table4" displayName="Table4" ref="A1:N27" totalsRowShown="0" headerRowDxfId="15" dataDxfId="14" headerRowCellStyle="Normal 2" dataCellStyle="Normal 2">
  <autoFilter ref="A1:N27" xr:uid="{2A32900B-188E-4D50-8E38-F248EBDAF117}"/>
  <tableColumns count="14">
    <tableColumn id="1" xr3:uid="{6D6B3B7A-C03B-4338-B186-A4E43F6533B8}" name="group" dataDxfId="13" dataCellStyle="Normal 2"/>
    <tableColumn id="2" xr3:uid="{3D6188A7-4C3A-4652-B87B-0AB56E7D938A}" name="Bath and North East Somerset" dataDxfId="12" dataCellStyle="Normal 2"/>
    <tableColumn id="3" xr3:uid="{8C2F8430-6A6C-48AA-BA11-619883554A24}" name="Bristol, City of" dataDxfId="11" dataCellStyle="Normal 2"/>
    <tableColumn id="4" xr3:uid="{AEAEEB49-2BBD-4269-BC6F-BB6D9EC75CB0}" name="Cheltenham" dataDxfId="10" dataCellStyle="Normal 2"/>
    <tableColumn id="5" xr3:uid="{BACC16FD-1B5E-4AED-A81C-B75AC5CC1A3A}" name="Cotswold" dataDxfId="9" dataCellStyle="Normal 2"/>
    <tableColumn id="6" xr3:uid="{E080BB33-29E5-481B-92DF-75E25A27E1A6}" name="Forest of Dean" dataDxfId="8" dataCellStyle="Normal 2"/>
    <tableColumn id="7" xr3:uid="{ABFF0B42-0BAB-473B-ADF5-E3B914416529}" name="Gloucester" dataDxfId="7" dataCellStyle="Normal 2"/>
    <tableColumn id="8" xr3:uid="{8C593FA0-DA98-49AD-9B30-BF98E41BF643}" name="North Somerset" dataDxfId="6" dataCellStyle="Normal 2"/>
    <tableColumn id="9" xr3:uid="{BDD6A674-7635-4822-8256-26B5F8054504}" name="South Gloucestershire" dataDxfId="5" dataCellStyle="Normal 2"/>
    <tableColumn id="10" xr3:uid="{42C99686-5BFF-4420-A787-32C428E4DBF8}" name="Stroud" dataDxfId="4" dataCellStyle="Normal 2"/>
    <tableColumn id="11" xr3:uid="{4296F577-9671-42EC-A5E5-4E043769EC00}" name="Swindon" dataDxfId="3" dataCellStyle="Normal 2"/>
    <tableColumn id="12" xr3:uid="{3B0E92E2-F6F2-40EE-8327-089A5C7EA918}" name="Tewkesbury" dataDxfId="2" dataCellStyle="Normal 2"/>
    <tableColumn id="13" xr3:uid="{14E60925-84E9-4272-8990-7322DC9880D7}" name="Wiltshire" dataDxfId="1" dataCellStyle="Normal 2"/>
    <tableColumn id="14" xr3:uid="{47CF982F-BA9E-43CD-BF5F-0AB7E642563D}" name="Gloucestershire" dataDxfId="0">
      <calculatedColumnFormula>SUM(D2,E2,F2,G2,J2,L2)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nomisweb.co.uk/query/construct/summary.asp"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41220-653E-465C-B4E4-44A0490CB613}">
  <dimension ref="A1:B11"/>
  <sheetViews>
    <sheetView topLeftCell="A6" workbookViewId="0">
      <selection activeCell="D10" sqref="D10"/>
    </sheetView>
  </sheetViews>
  <sheetFormatPr defaultRowHeight="14.5" x14ac:dyDescent="0.35"/>
  <cols>
    <col min="1" max="1" width="25" customWidth="1"/>
    <col min="2" max="2" width="82.08984375" customWidth="1"/>
  </cols>
  <sheetData>
    <row r="1" spans="1:2" x14ac:dyDescent="0.35">
      <c r="A1" s="30" t="s">
        <v>96</v>
      </c>
      <c r="B1" t="s">
        <v>100</v>
      </c>
    </row>
    <row r="2" spans="1:2" x14ac:dyDescent="0.35">
      <c r="A2" s="30" t="s">
        <v>88</v>
      </c>
      <c r="B2" t="s">
        <v>101</v>
      </c>
    </row>
    <row r="3" spans="1:2" ht="29" x14ac:dyDescent="0.35">
      <c r="A3" s="30" t="s">
        <v>97</v>
      </c>
      <c r="B3" s="29" t="s">
        <v>102</v>
      </c>
    </row>
    <row r="4" spans="1:2" x14ac:dyDescent="0.35">
      <c r="A4" s="30" t="s">
        <v>89</v>
      </c>
      <c r="B4" s="31">
        <v>46042</v>
      </c>
    </row>
    <row r="5" spans="1:2" x14ac:dyDescent="0.35">
      <c r="A5" s="30" t="s">
        <v>92</v>
      </c>
      <c r="B5" s="28">
        <v>46113</v>
      </c>
    </row>
    <row r="6" spans="1:2" x14ac:dyDescent="0.35">
      <c r="A6" s="32" t="s">
        <v>90</v>
      </c>
      <c r="B6" s="33" t="s">
        <v>91</v>
      </c>
    </row>
    <row r="7" spans="1:2" x14ac:dyDescent="0.35">
      <c r="A7" s="30" t="s">
        <v>93</v>
      </c>
      <c r="B7" s="31">
        <v>46091</v>
      </c>
    </row>
    <row r="8" spans="1:2" x14ac:dyDescent="0.35">
      <c r="A8" s="30" t="s">
        <v>94</v>
      </c>
      <c r="B8" s="31">
        <v>46091</v>
      </c>
    </row>
    <row r="9" spans="1:2" ht="43.5" x14ac:dyDescent="0.35">
      <c r="A9" s="30" t="s">
        <v>95</v>
      </c>
      <c r="B9" s="35" t="s">
        <v>103</v>
      </c>
    </row>
    <row r="10" spans="1:2" ht="43.5" x14ac:dyDescent="0.35">
      <c r="A10" s="30" t="s">
        <v>98</v>
      </c>
      <c r="B10" s="29" t="s">
        <v>104</v>
      </c>
    </row>
    <row r="11" spans="1:2" ht="159.5" x14ac:dyDescent="0.35">
      <c r="A11" s="30" t="s">
        <v>99</v>
      </c>
      <c r="B11" s="29" t="s">
        <v>105</v>
      </c>
    </row>
  </sheetData>
  <hyperlinks>
    <hyperlink ref="B6" r:id="rId1" display="https://www.nomisweb.co.uk/query/construct/summary.asp" xr:uid="{FE07EEB4-1834-443C-8766-B4ADDC255D9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632C7-0DFD-4E24-AD1B-60496E4A8B12}">
  <dimension ref="A1:E14"/>
  <sheetViews>
    <sheetView tabSelected="1" workbookViewId="0">
      <selection activeCell="B19" sqref="B19"/>
    </sheetView>
  </sheetViews>
  <sheetFormatPr defaultRowHeight="14.5" x14ac:dyDescent="0.35"/>
  <cols>
    <col min="1" max="1" width="25.1796875" bestFit="1" customWidth="1"/>
    <col min="2" max="2" width="43.1796875" bestFit="1" customWidth="1"/>
    <col min="3" max="3" width="24.36328125" bestFit="1" customWidth="1"/>
    <col min="4" max="4" width="30.90625" bestFit="1" customWidth="1"/>
    <col min="5" max="5" width="24.08984375" bestFit="1" customWidth="1"/>
    <col min="6" max="6" width="9.7265625" customWidth="1"/>
    <col min="7" max="7" width="8.54296875" customWidth="1"/>
    <col min="8" max="9" width="9.81640625" customWidth="1"/>
    <col min="10" max="10" width="8.36328125" bestFit="1" customWidth="1"/>
    <col min="11" max="11" width="9.81640625" bestFit="1" customWidth="1"/>
    <col min="12" max="12" width="9.08984375" customWidth="1"/>
    <col min="13" max="13" width="10.26953125" bestFit="1" customWidth="1"/>
    <col min="14" max="14" width="10.54296875" customWidth="1"/>
  </cols>
  <sheetData>
    <row r="1" spans="1:5" x14ac:dyDescent="0.35">
      <c r="A1" s="9" t="s">
        <v>85</v>
      </c>
      <c r="B1" s="9" t="s">
        <v>81</v>
      </c>
      <c r="C1" s="9" t="s">
        <v>82</v>
      </c>
      <c r="D1" s="9" t="s">
        <v>83</v>
      </c>
      <c r="E1" s="9" t="s">
        <v>84</v>
      </c>
    </row>
    <row r="2" spans="1:5" x14ac:dyDescent="0.35">
      <c r="A2" s="9" t="s">
        <v>6</v>
      </c>
      <c r="B2" s="9">
        <v>6800</v>
      </c>
      <c r="C2" s="9">
        <v>2800</v>
      </c>
      <c r="D2" s="9">
        <v>2600</v>
      </c>
      <c r="E2" s="9">
        <v>1800</v>
      </c>
    </row>
    <row r="3" spans="1:5" x14ac:dyDescent="0.35">
      <c r="A3" s="9" t="s">
        <v>7</v>
      </c>
      <c r="B3" s="9">
        <v>62900</v>
      </c>
      <c r="C3" s="9">
        <v>12000</v>
      </c>
      <c r="D3" s="9">
        <v>2500</v>
      </c>
      <c r="E3" s="9">
        <v>23500</v>
      </c>
    </row>
    <row r="4" spans="1:5" x14ac:dyDescent="0.35">
      <c r="A4" s="9" t="s">
        <v>8</v>
      </c>
      <c r="B4" s="9">
        <v>12400</v>
      </c>
      <c r="C4" s="9">
        <v>1500</v>
      </c>
      <c r="D4" s="9">
        <v>-100</v>
      </c>
      <c r="E4" s="9">
        <v>200</v>
      </c>
    </row>
    <row r="5" spans="1:5" x14ac:dyDescent="0.35">
      <c r="A5" s="9" t="s">
        <v>9</v>
      </c>
      <c r="B5" s="9">
        <v>-2300</v>
      </c>
      <c r="C5" s="9">
        <v>400</v>
      </c>
      <c r="D5" s="9">
        <v>3500</v>
      </c>
      <c r="E5" s="9">
        <v>1000</v>
      </c>
    </row>
    <row r="6" spans="1:5" x14ac:dyDescent="0.35">
      <c r="A6" s="9" t="s">
        <v>10</v>
      </c>
      <c r="B6" s="9">
        <v>1500</v>
      </c>
      <c r="C6" s="9">
        <v>-300</v>
      </c>
      <c r="D6" s="9">
        <v>-5700</v>
      </c>
      <c r="E6" s="9">
        <v>-2200</v>
      </c>
    </row>
    <row r="7" spans="1:5" x14ac:dyDescent="0.35">
      <c r="A7" s="9" t="s">
        <v>11</v>
      </c>
      <c r="B7" s="9">
        <v>7200</v>
      </c>
      <c r="C7" s="9">
        <v>-1300</v>
      </c>
      <c r="D7" s="9">
        <v>600</v>
      </c>
      <c r="E7" s="9">
        <v>2300</v>
      </c>
    </row>
    <row r="8" spans="1:5" x14ac:dyDescent="0.35">
      <c r="A8" s="9" t="s">
        <v>12</v>
      </c>
      <c r="B8" s="9">
        <v>-14500</v>
      </c>
      <c r="C8" s="9">
        <v>-5100</v>
      </c>
      <c r="D8" s="9">
        <v>900</v>
      </c>
      <c r="E8" s="9">
        <v>-1600</v>
      </c>
    </row>
    <row r="9" spans="1:5" x14ac:dyDescent="0.35">
      <c r="A9" s="9" t="s">
        <v>13</v>
      </c>
      <c r="B9" s="9">
        <v>-28500</v>
      </c>
      <c r="C9" s="9">
        <v>-3000</v>
      </c>
      <c r="D9" s="9">
        <v>-3600</v>
      </c>
      <c r="E9" s="9">
        <v>-12000</v>
      </c>
    </row>
    <row r="10" spans="1:5" x14ac:dyDescent="0.35">
      <c r="A10" s="9" t="s">
        <v>14</v>
      </c>
      <c r="B10" s="9">
        <v>-2100</v>
      </c>
      <c r="C10" s="9">
        <v>-800</v>
      </c>
      <c r="D10" s="9">
        <v>700</v>
      </c>
      <c r="E10" s="9">
        <v>-2400</v>
      </c>
    </row>
    <row r="11" spans="1:5" x14ac:dyDescent="0.35">
      <c r="A11" s="9" t="s">
        <v>15</v>
      </c>
      <c r="B11" s="9">
        <v>3000</v>
      </c>
      <c r="C11" s="9">
        <v>-1800</v>
      </c>
      <c r="D11" s="9">
        <v>1000</v>
      </c>
      <c r="E11" s="9">
        <v>-3100</v>
      </c>
    </row>
    <row r="12" spans="1:5" x14ac:dyDescent="0.35">
      <c r="A12" s="9" t="s">
        <v>79</v>
      </c>
      <c r="B12" s="9">
        <v>-8100</v>
      </c>
      <c r="C12" s="9">
        <v>-2300</v>
      </c>
      <c r="D12" s="9">
        <v>-1600</v>
      </c>
      <c r="E12" s="9">
        <v>-400</v>
      </c>
    </row>
    <row r="13" spans="1:5" x14ac:dyDescent="0.35">
      <c r="A13" s="9" t="s">
        <v>17</v>
      </c>
      <c r="B13" s="9">
        <v>-8700</v>
      </c>
      <c r="C13" s="9">
        <v>-1100</v>
      </c>
      <c r="D13" s="9">
        <v>-400</v>
      </c>
      <c r="E13" s="9">
        <v>-1500</v>
      </c>
    </row>
    <row r="14" spans="1:5" x14ac:dyDescent="0.35">
      <c r="A14" s="9" t="s">
        <v>78</v>
      </c>
      <c r="B14" s="9">
        <v>8600</v>
      </c>
      <c r="C14" s="9">
        <v>-2800</v>
      </c>
      <c r="D14" s="9">
        <v>-2600</v>
      </c>
      <c r="E14" s="9">
        <v>-1500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37"/>
  <sheetViews>
    <sheetView topLeftCell="A23" workbookViewId="0">
      <selection activeCell="A36" sqref="A36"/>
    </sheetView>
  </sheetViews>
  <sheetFormatPr defaultRowHeight="14.5" x14ac:dyDescent="0.35"/>
  <cols>
    <col min="1" max="1" width="89.6328125" bestFit="1" customWidth="1" collapsed="1"/>
    <col min="2" max="25" width="14" customWidth="1" collapsed="1"/>
  </cols>
  <sheetData>
    <row r="1" spans="1:25" ht="15.5" x14ac:dyDescent="0.35">
      <c r="A1" s="1" t="s">
        <v>0</v>
      </c>
    </row>
    <row r="2" spans="1:25" x14ac:dyDescent="0.35">
      <c r="A2" s="2" t="s">
        <v>1</v>
      </c>
    </row>
    <row r="4" spans="1:25" x14ac:dyDescent="0.35">
      <c r="A4" s="3" t="s">
        <v>2</v>
      </c>
      <c r="B4" s="3" t="s">
        <v>3</v>
      </c>
    </row>
    <row r="5" spans="1:25" x14ac:dyDescent="0.35">
      <c r="A5" s="3" t="s">
        <v>4</v>
      </c>
      <c r="B5" s="3" t="s">
        <v>5</v>
      </c>
    </row>
    <row r="7" spans="1:25" ht="39" customHeight="1" x14ac:dyDescent="0.35">
      <c r="A7" s="5" t="s">
        <v>18</v>
      </c>
      <c r="B7" s="16" t="s">
        <v>6</v>
      </c>
      <c r="C7" s="17"/>
      <c r="D7" s="16" t="s">
        <v>7</v>
      </c>
      <c r="E7" s="17"/>
      <c r="F7" s="16" t="s">
        <v>8</v>
      </c>
      <c r="G7" s="17"/>
      <c r="H7" s="16" t="s">
        <v>9</v>
      </c>
      <c r="I7" s="17"/>
      <c r="J7" s="16" t="s">
        <v>10</v>
      </c>
      <c r="K7" s="17"/>
      <c r="L7" s="16" t="s">
        <v>11</v>
      </c>
      <c r="M7" s="17"/>
      <c r="N7" s="16" t="s">
        <v>12</v>
      </c>
      <c r="O7" s="17"/>
      <c r="P7" s="16" t="s">
        <v>13</v>
      </c>
      <c r="Q7" s="17"/>
      <c r="R7" s="16" t="s">
        <v>14</v>
      </c>
      <c r="S7" s="17"/>
      <c r="T7" s="16" t="s">
        <v>15</v>
      </c>
      <c r="U7" s="17"/>
      <c r="V7" s="16" t="s">
        <v>16</v>
      </c>
      <c r="W7" s="17"/>
      <c r="X7" s="16" t="s">
        <v>17</v>
      </c>
      <c r="Y7" s="17"/>
    </row>
    <row r="8" spans="1:25" ht="26" customHeight="1" x14ac:dyDescent="0.35">
      <c r="B8" s="4" t="s">
        <v>19</v>
      </c>
      <c r="C8" s="4" t="s">
        <v>20</v>
      </c>
      <c r="D8" s="4" t="s">
        <v>19</v>
      </c>
      <c r="E8" s="4" t="s">
        <v>20</v>
      </c>
      <c r="F8" s="4" t="s">
        <v>19</v>
      </c>
      <c r="G8" s="4" t="s">
        <v>20</v>
      </c>
      <c r="H8" s="4" t="s">
        <v>19</v>
      </c>
      <c r="I8" s="4" t="s">
        <v>20</v>
      </c>
      <c r="J8" s="4" t="s">
        <v>19</v>
      </c>
      <c r="K8" s="4" t="s">
        <v>20</v>
      </c>
      <c r="L8" s="4" t="s">
        <v>19</v>
      </c>
      <c r="M8" s="4" t="s">
        <v>20</v>
      </c>
      <c r="N8" s="4" t="s">
        <v>19</v>
      </c>
      <c r="O8" s="4" t="s">
        <v>20</v>
      </c>
      <c r="P8" s="4" t="s">
        <v>19</v>
      </c>
      <c r="Q8" s="4" t="s">
        <v>20</v>
      </c>
      <c r="R8" s="4" t="s">
        <v>19</v>
      </c>
      <c r="S8" s="4" t="s">
        <v>20</v>
      </c>
      <c r="T8" s="4" t="s">
        <v>19</v>
      </c>
      <c r="U8" s="4" t="s">
        <v>20</v>
      </c>
      <c r="V8" s="4" t="s">
        <v>19</v>
      </c>
      <c r="W8" s="4" t="s">
        <v>20</v>
      </c>
      <c r="X8" s="4" t="s">
        <v>19</v>
      </c>
      <c r="Y8" s="4" t="s">
        <v>20</v>
      </c>
    </row>
    <row r="9" spans="1:25" x14ac:dyDescent="0.35">
      <c r="A9" s="6" t="s">
        <v>21</v>
      </c>
      <c r="B9" s="7">
        <v>8600</v>
      </c>
      <c r="C9" s="7">
        <v>2700</v>
      </c>
      <c r="D9" s="7">
        <v>25400</v>
      </c>
      <c r="E9" s="7">
        <v>6900</v>
      </c>
      <c r="F9" s="7">
        <v>9700</v>
      </c>
      <c r="G9" s="7">
        <v>4600</v>
      </c>
      <c r="H9" s="7">
        <v>7400</v>
      </c>
      <c r="I9" s="7">
        <v>3300</v>
      </c>
      <c r="J9" s="7">
        <v>3300</v>
      </c>
      <c r="K9" s="7" t="s">
        <v>22</v>
      </c>
      <c r="L9" s="7">
        <v>9200</v>
      </c>
      <c r="M9" s="7">
        <v>4600</v>
      </c>
      <c r="N9" s="7">
        <v>5500</v>
      </c>
      <c r="O9" s="7">
        <v>1900</v>
      </c>
      <c r="P9" s="7">
        <v>10000</v>
      </c>
      <c r="Q9" s="7">
        <v>3200</v>
      </c>
      <c r="R9" s="7">
        <v>6000</v>
      </c>
      <c r="S9" s="7">
        <v>3200</v>
      </c>
      <c r="T9" s="7">
        <v>11500</v>
      </c>
      <c r="U9" s="7">
        <v>3300</v>
      </c>
      <c r="V9" s="7">
        <v>5300</v>
      </c>
      <c r="W9" s="7" t="s">
        <v>22</v>
      </c>
      <c r="X9" s="7">
        <v>31100</v>
      </c>
      <c r="Y9" s="7">
        <v>7200</v>
      </c>
    </row>
    <row r="10" spans="1:25" x14ac:dyDescent="0.35">
      <c r="A10" s="6" t="s">
        <v>23</v>
      </c>
      <c r="B10" s="7">
        <v>4500</v>
      </c>
      <c r="C10" s="7">
        <v>2000</v>
      </c>
      <c r="D10" s="7">
        <v>9500</v>
      </c>
      <c r="E10" s="7">
        <v>4200</v>
      </c>
      <c r="F10" s="7">
        <v>2300</v>
      </c>
      <c r="G10" s="7" t="s">
        <v>22</v>
      </c>
      <c r="H10" s="7">
        <v>3000</v>
      </c>
      <c r="I10" s="7" t="s">
        <v>22</v>
      </c>
      <c r="J10" s="7">
        <v>900</v>
      </c>
      <c r="K10" s="7" t="s">
        <v>22</v>
      </c>
      <c r="L10" s="7">
        <v>4000</v>
      </c>
      <c r="M10" s="7" t="s">
        <v>22</v>
      </c>
      <c r="N10" s="7">
        <v>3100</v>
      </c>
      <c r="O10" s="7">
        <v>1400</v>
      </c>
      <c r="P10" s="7">
        <v>2500</v>
      </c>
      <c r="Q10" s="7">
        <v>1600</v>
      </c>
      <c r="R10" s="7" t="s">
        <v>24</v>
      </c>
      <c r="S10" s="7" t="s">
        <v>24</v>
      </c>
      <c r="T10" s="7">
        <v>3600</v>
      </c>
      <c r="U10" s="7">
        <v>1800</v>
      </c>
      <c r="V10" s="7">
        <v>3300</v>
      </c>
      <c r="W10" s="7" t="s">
        <v>22</v>
      </c>
      <c r="X10" s="7">
        <v>10100</v>
      </c>
      <c r="Y10" s="7">
        <v>4100</v>
      </c>
    </row>
    <row r="11" spans="1:25" x14ac:dyDescent="0.35">
      <c r="A11" s="6" t="s">
        <v>25</v>
      </c>
      <c r="B11" s="7">
        <v>10600</v>
      </c>
      <c r="C11" s="7">
        <v>3000</v>
      </c>
      <c r="D11" s="7">
        <v>50000</v>
      </c>
      <c r="E11" s="7">
        <v>9600</v>
      </c>
      <c r="F11" s="7">
        <v>6300</v>
      </c>
      <c r="G11" s="7">
        <v>3700</v>
      </c>
      <c r="H11" s="7">
        <v>2600</v>
      </c>
      <c r="I11" s="7" t="s">
        <v>22</v>
      </c>
      <c r="J11" s="7">
        <v>3500</v>
      </c>
      <c r="K11" s="7" t="s">
        <v>22</v>
      </c>
      <c r="L11" s="7">
        <v>6900</v>
      </c>
      <c r="M11" s="7">
        <v>4000</v>
      </c>
      <c r="N11" s="7">
        <v>5600</v>
      </c>
      <c r="O11" s="7">
        <v>1900</v>
      </c>
      <c r="P11" s="7">
        <v>13500</v>
      </c>
      <c r="Q11" s="7">
        <v>3700</v>
      </c>
      <c r="R11" s="7">
        <v>4200</v>
      </c>
      <c r="S11" s="7">
        <v>2700</v>
      </c>
      <c r="T11" s="7">
        <v>9100</v>
      </c>
      <c r="U11" s="7">
        <v>2900</v>
      </c>
      <c r="V11" s="7">
        <v>2400</v>
      </c>
      <c r="W11" s="7" t="s">
        <v>22</v>
      </c>
      <c r="X11" s="7">
        <v>24000</v>
      </c>
      <c r="Y11" s="7">
        <v>6300</v>
      </c>
    </row>
    <row r="12" spans="1:25" x14ac:dyDescent="0.35">
      <c r="A12" s="6" t="s">
        <v>26</v>
      </c>
      <c r="B12" s="7">
        <v>6600</v>
      </c>
      <c r="C12" s="7">
        <v>2400</v>
      </c>
      <c r="D12" s="7">
        <v>20900</v>
      </c>
      <c r="E12" s="7">
        <v>6200</v>
      </c>
      <c r="F12" s="7">
        <v>4700</v>
      </c>
      <c r="G12" s="7">
        <v>3200</v>
      </c>
      <c r="H12" s="7" t="s">
        <v>24</v>
      </c>
      <c r="I12" s="7" t="s">
        <v>24</v>
      </c>
      <c r="J12" s="7">
        <v>3800</v>
      </c>
      <c r="K12" s="7" t="s">
        <v>22</v>
      </c>
      <c r="L12" s="7">
        <v>6400</v>
      </c>
      <c r="M12" s="7">
        <v>3900</v>
      </c>
      <c r="N12" s="7">
        <v>2800</v>
      </c>
      <c r="O12" s="7">
        <v>1300</v>
      </c>
      <c r="P12" s="7">
        <v>3200</v>
      </c>
      <c r="Q12" s="7">
        <v>1800</v>
      </c>
      <c r="R12" s="7">
        <v>6400</v>
      </c>
      <c r="S12" s="7">
        <v>3300</v>
      </c>
      <c r="T12" s="7">
        <v>3400</v>
      </c>
      <c r="U12" s="7">
        <v>1800</v>
      </c>
      <c r="V12" s="7" t="s">
        <v>24</v>
      </c>
      <c r="W12" s="7" t="s">
        <v>24</v>
      </c>
      <c r="X12" s="7">
        <v>11900</v>
      </c>
      <c r="Y12" s="7">
        <v>4400</v>
      </c>
    </row>
    <row r="13" spans="1:25" x14ac:dyDescent="0.35">
      <c r="A13" s="6" t="s">
        <v>27</v>
      </c>
      <c r="B13" s="7">
        <v>8300</v>
      </c>
      <c r="C13" s="7">
        <v>2700</v>
      </c>
      <c r="D13" s="7">
        <v>25800</v>
      </c>
      <c r="E13" s="7">
        <v>6900</v>
      </c>
      <c r="F13" s="7">
        <v>7800</v>
      </c>
      <c r="G13" s="7">
        <v>4100</v>
      </c>
      <c r="H13" s="7">
        <v>1700</v>
      </c>
      <c r="I13" s="7" t="s">
        <v>22</v>
      </c>
      <c r="J13" s="7">
        <v>1600</v>
      </c>
      <c r="K13" s="7" t="s">
        <v>22</v>
      </c>
      <c r="L13" s="7">
        <v>1600</v>
      </c>
      <c r="M13" s="7" t="s">
        <v>22</v>
      </c>
      <c r="N13" s="7">
        <v>5600</v>
      </c>
      <c r="O13" s="7">
        <v>1900</v>
      </c>
      <c r="P13" s="7">
        <v>4400</v>
      </c>
      <c r="Q13" s="7">
        <v>2100</v>
      </c>
      <c r="R13" s="7">
        <v>3400</v>
      </c>
      <c r="S13" s="7" t="s">
        <v>22</v>
      </c>
      <c r="T13" s="7">
        <v>4200</v>
      </c>
      <c r="U13" s="7">
        <v>2000</v>
      </c>
      <c r="V13" s="7" t="s">
        <v>24</v>
      </c>
      <c r="W13" s="7" t="s">
        <v>24</v>
      </c>
      <c r="X13" s="7">
        <v>14200</v>
      </c>
      <c r="Y13" s="7">
        <v>4800</v>
      </c>
    </row>
    <row r="14" spans="1:25" x14ac:dyDescent="0.35">
      <c r="A14" s="6" t="s">
        <v>28</v>
      </c>
      <c r="B14" s="7">
        <v>12000</v>
      </c>
      <c r="C14" s="7">
        <v>3200</v>
      </c>
      <c r="D14" s="7">
        <v>38200</v>
      </c>
      <c r="E14" s="7">
        <v>8400</v>
      </c>
      <c r="F14" s="7">
        <v>11700</v>
      </c>
      <c r="G14" s="7">
        <v>5000</v>
      </c>
      <c r="H14" s="7">
        <v>5800</v>
      </c>
      <c r="I14" s="7">
        <v>3000</v>
      </c>
      <c r="J14" s="7">
        <v>2100</v>
      </c>
      <c r="K14" s="7" t="s">
        <v>22</v>
      </c>
      <c r="L14" s="7">
        <v>5000</v>
      </c>
      <c r="M14" s="7">
        <v>3400</v>
      </c>
      <c r="N14" s="7">
        <v>5700</v>
      </c>
      <c r="O14" s="7">
        <v>1900</v>
      </c>
      <c r="P14" s="7">
        <v>10100</v>
      </c>
      <c r="Q14" s="7">
        <v>3200</v>
      </c>
      <c r="R14" s="7">
        <v>3300</v>
      </c>
      <c r="S14" s="7" t="s">
        <v>22</v>
      </c>
      <c r="T14" s="7">
        <v>7300</v>
      </c>
      <c r="U14" s="7">
        <v>2600</v>
      </c>
      <c r="V14" s="7">
        <v>5200</v>
      </c>
      <c r="W14" s="7" t="s">
        <v>22</v>
      </c>
      <c r="X14" s="7">
        <v>24100</v>
      </c>
      <c r="Y14" s="7">
        <v>6300</v>
      </c>
    </row>
    <row r="15" spans="1:25" x14ac:dyDescent="0.35">
      <c r="A15" s="6" t="s">
        <v>29</v>
      </c>
      <c r="B15" s="7">
        <v>3000</v>
      </c>
      <c r="C15" s="7" t="s">
        <v>22</v>
      </c>
      <c r="D15" s="7">
        <v>8900</v>
      </c>
      <c r="E15" s="7">
        <v>4000</v>
      </c>
      <c r="F15" s="7" t="s">
        <v>24</v>
      </c>
      <c r="G15" s="7" t="s">
        <v>24</v>
      </c>
      <c r="H15" s="7" t="s">
        <v>24</v>
      </c>
      <c r="I15" s="7" t="s">
        <v>24</v>
      </c>
      <c r="J15" s="7" t="s">
        <v>24</v>
      </c>
      <c r="K15" s="7" t="s">
        <v>24</v>
      </c>
      <c r="L15" s="7">
        <v>2600</v>
      </c>
      <c r="M15" s="7" t="s">
        <v>22</v>
      </c>
      <c r="N15" s="7">
        <v>1600</v>
      </c>
      <c r="O15" s="7" t="s">
        <v>22</v>
      </c>
      <c r="P15" s="7">
        <v>3300</v>
      </c>
      <c r="Q15" s="7">
        <v>1800</v>
      </c>
      <c r="R15" s="7" t="s">
        <v>24</v>
      </c>
      <c r="S15" s="7" t="s">
        <v>24</v>
      </c>
      <c r="T15" s="7">
        <v>2800</v>
      </c>
      <c r="U15" s="7" t="s">
        <v>22</v>
      </c>
      <c r="V15" s="7" t="s">
        <v>24</v>
      </c>
      <c r="W15" s="7" t="s">
        <v>24</v>
      </c>
      <c r="X15" s="7">
        <v>5400</v>
      </c>
      <c r="Y15" s="7">
        <v>3000</v>
      </c>
    </row>
    <row r="16" spans="1:25" x14ac:dyDescent="0.35">
      <c r="A16" s="6" t="s">
        <v>30</v>
      </c>
      <c r="B16" s="7">
        <v>3600</v>
      </c>
      <c r="C16" s="7" t="s">
        <v>22</v>
      </c>
      <c r="D16" s="7">
        <v>8600</v>
      </c>
      <c r="E16" s="7">
        <v>4000</v>
      </c>
      <c r="F16" s="7">
        <v>2300</v>
      </c>
      <c r="G16" s="7" t="s">
        <v>22</v>
      </c>
      <c r="H16" s="7" t="s">
        <v>24</v>
      </c>
      <c r="I16" s="7" t="s">
        <v>24</v>
      </c>
      <c r="J16" s="7" t="s">
        <v>24</v>
      </c>
      <c r="K16" s="7" t="s">
        <v>24</v>
      </c>
      <c r="L16" s="7" t="s">
        <v>24</v>
      </c>
      <c r="M16" s="7" t="s">
        <v>24</v>
      </c>
      <c r="N16" s="7">
        <v>3500</v>
      </c>
      <c r="O16" s="7">
        <v>1500</v>
      </c>
      <c r="P16" s="7">
        <v>1300</v>
      </c>
      <c r="Q16" s="7" t="s">
        <v>22</v>
      </c>
      <c r="R16" s="7">
        <v>1300</v>
      </c>
      <c r="S16" s="7" t="s">
        <v>22</v>
      </c>
      <c r="T16" s="7">
        <v>2200</v>
      </c>
      <c r="U16" s="7" t="s">
        <v>22</v>
      </c>
      <c r="V16" s="7">
        <v>2400</v>
      </c>
      <c r="W16" s="7" t="s">
        <v>22</v>
      </c>
      <c r="X16" s="7">
        <v>3800</v>
      </c>
      <c r="Y16" s="7">
        <v>2500</v>
      </c>
    </row>
    <row r="17" spans="1:25" x14ac:dyDescent="0.35">
      <c r="A17" s="6" t="s">
        <v>31</v>
      </c>
      <c r="B17" s="7">
        <v>1400</v>
      </c>
      <c r="C17" s="7" t="s">
        <v>22</v>
      </c>
      <c r="D17" s="7">
        <v>4100</v>
      </c>
      <c r="E17" s="7">
        <v>2800</v>
      </c>
      <c r="F17" s="7" t="s">
        <v>24</v>
      </c>
      <c r="G17" s="7" t="s">
        <v>24</v>
      </c>
      <c r="H17" s="7" t="s">
        <v>24</v>
      </c>
      <c r="I17" s="7" t="s">
        <v>24</v>
      </c>
      <c r="J17" s="7" t="s">
        <v>24</v>
      </c>
      <c r="K17" s="7" t="s">
        <v>24</v>
      </c>
      <c r="L17" s="7">
        <v>5400</v>
      </c>
      <c r="M17" s="7" t="s">
        <v>22</v>
      </c>
      <c r="N17" s="7">
        <v>700</v>
      </c>
      <c r="O17" s="7" t="s">
        <v>22</v>
      </c>
      <c r="P17" s="7">
        <v>1200</v>
      </c>
      <c r="Q17" s="7" t="s">
        <v>22</v>
      </c>
      <c r="R17" s="7" t="s">
        <v>24</v>
      </c>
      <c r="S17" s="7" t="s">
        <v>24</v>
      </c>
      <c r="T17" s="7">
        <v>1900</v>
      </c>
      <c r="U17" s="7" t="s">
        <v>22</v>
      </c>
      <c r="V17" s="7" t="s">
        <v>24</v>
      </c>
      <c r="W17" s="7" t="s">
        <v>24</v>
      </c>
      <c r="X17" s="7">
        <v>3900</v>
      </c>
      <c r="Y17" s="7" t="s">
        <v>22</v>
      </c>
    </row>
    <row r="18" spans="1:25" x14ac:dyDescent="0.35">
      <c r="A18" s="6" t="s">
        <v>32</v>
      </c>
      <c r="B18" s="7">
        <v>1900</v>
      </c>
      <c r="C18" s="7">
        <v>1300</v>
      </c>
      <c r="D18" s="7">
        <v>13800</v>
      </c>
      <c r="E18" s="7">
        <v>5100</v>
      </c>
      <c r="F18" s="7" t="s">
        <v>24</v>
      </c>
      <c r="G18" s="7" t="s">
        <v>24</v>
      </c>
      <c r="H18" s="7">
        <v>1800</v>
      </c>
      <c r="I18" s="7" t="s">
        <v>22</v>
      </c>
      <c r="J18" s="7">
        <v>1800</v>
      </c>
      <c r="K18" s="7" t="s">
        <v>22</v>
      </c>
      <c r="L18" s="7">
        <v>1400</v>
      </c>
      <c r="M18" s="7" t="s">
        <v>22</v>
      </c>
      <c r="N18" s="7">
        <v>2200</v>
      </c>
      <c r="O18" s="7">
        <v>1200</v>
      </c>
      <c r="P18" s="7">
        <v>4500</v>
      </c>
      <c r="Q18" s="7">
        <v>2100</v>
      </c>
      <c r="R18" s="7">
        <v>2200</v>
      </c>
      <c r="S18" s="7" t="s">
        <v>22</v>
      </c>
      <c r="T18" s="7">
        <v>2500</v>
      </c>
      <c r="U18" s="7" t="s">
        <v>22</v>
      </c>
      <c r="V18" s="7" t="s">
        <v>24</v>
      </c>
      <c r="W18" s="7" t="s">
        <v>24</v>
      </c>
      <c r="X18" s="7">
        <v>4400</v>
      </c>
      <c r="Y18" s="7">
        <v>2700</v>
      </c>
    </row>
    <row r="19" spans="1:25" x14ac:dyDescent="0.35">
      <c r="A19" s="6" t="s">
        <v>33</v>
      </c>
      <c r="B19" s="7">
        <v>5800</v>
      </c>
      <c r="C19" s="7">
        <v>2200</v>
      </c>
      <c r="D19" s="7">
        <v>26800</v>
      </c>
      <c r="E19" s="7">
        <v>7000</v>
      </c>
      <c r="F19" s="7">
        <v>4900</v>
      </c>
      <c r="G19" s="7">
        <v>3300</v>
      </c>
      <c r="H19" s="7">
        <v>3300</v>
      </c>
      <c r="I19" s="7" t="s">
        <v>22</v>
      </c>
      <c r="J19" s="7">
        <v>2400</v>
      </c>
      <c r="K19" s="7" t="s">
        <v>22</v>
      </c>
      <c r="L19" s="7">
        <v>5800</v>
      </c>
      <c r="M19" s="7">
        <v>3700</v>
      </c>
      <c r="N19" s="7">
        <v>8400</v>
      </c>
      <c r="O19" s="7">
        <v>2300</v>
      </c>
      <c r="P19" s="7">
        <v>9000</v>
      </c>
      <c r="Q19" s="7">
        <v>3000</v>
      </c>
      <c r="R19" s="7">
        <v>4300</v>
      </c>
      <c r="S19" s="7" t="s">
        <v>22</v>
      </c>
      <c r="T19" s="7">
        <v>9500</v>
      </c>
      <c r="U19" s="7">
        <v>3000</v>
      </c>
      <c r="V19" s="7">
        <v>2200</v>
      </c>
      <c r="W19" s="7" t="s">
        <v>22</v>
      </c>
      <c r="X19" s="7">
        <v>16000</v>
      </c>
      <c r="Y19" s="7">
        <v>5100</v>
      </c>
    </row>
    <row r="20" spans="1:25" x14ac:dyDescent="0.35">
      <c r="A20" s="6" t="s">
        <v>34</v>
      </c>
      <c r="B20" s="7">
        <v>8000</v>
      </c>
      <c r="C20" s="7">
        <v>2600</v>
      </c>
      <c r="D20" s="7">
        <v>15100</v>
      </c>
      <c r="E20" s="7">
        <v>5300</v>
      </c>
      <c r="F20" s="7">
        <v>3700</v>
      </c>
      <c r="G20" s="7" t="s">
        <v>22</v>
      </c>
      <c r="H20" s="7">
        <v>3300</v>
      </c>
      <c r="I20" s="7" t="s">
        <v>22</v>
      </c>
      <c r="J20" s="7">
        <v>3500</v>
      </c>
      <c r="K20" s="7" t="s">
        <v>22</v>
      </c>
      <c r="L20" s="7">
        <v>6800</v>
      </c>
      <c r="M20" s="7">
        <v>4000</v>
      </c>
      <c r="N20" s="7">
        <v>5900</v>
      </c>
      <c r="O20" s="7">
        <v>2000</v>
      </c>
      <c r="P20" s="7">
        <v>10500</v>
      </c>
      <c r="Q20" s="7">
        <v>3200</v>
      </c>
      <c r="R20" s="7">
        <v>3000</v>
      </c>
      <c r="S20" s="7" t="s">
        <v>22</v>
      </c>
      <c r="T20" s="7">
        <v>8500</v>
      </c>
      <c r="U20" s="7">
        <v>2900</v>
      </c>
      <c r="V20" s="7">
        <v>3700</v>
      </c>
      <c r="W20" s="7" t="s">
        <v>22</v>
      </c>
      <c r="X20" s="7">
        <v>17600</v>
      </c>
      <c r="Y20" s="7">
        <v>5400</v>
      </c>
    </row>
    <row r="21" spans="1:25" x14ac:dyDescent="0.35">
      <c r="A21" s="6" t="s">
        <v>35</v>
      </c>
      <c r="B21" s="7">
        <v>1100</v>
      </c>
      <c r="C21" s="7" t="s">
        <v>22</v>
      </c>
      <c r="D21" s="7">
        <v>1900</v>
      </c>
      <c r="E21" s="7" t="s">
        <v>22</v>
      </c>
      <c r="F21" s="7">
        <v>1800</v>
      </c>
      <c r="G21" s="7" t="s">
        <v>22</v>
      </c>
      <c r="H21" s="7">
        <v>1100</v>
      </c>
      <c r="I21" s="7" t="s">
        <v>22</v>
      </c>
      <c r="J21" s="7" t="s">
        <v>24</v>
      </c>
      <c r="K21" s="7" t="s">
        <v>24</v>
      </c>
      <c r="L21" s="7" t="s">
        <v>24</v>
      </c>
      <c r="M21" s="7" t="s">
        <v>24</v>
      </c>
      <c r="N21" s="7" t="s">
        <v>24</v>
      </c>
      <c r="O21" s="7" t="s">
        <v>24</v>
      </c>
      <c r="P21" s="7">
        <v>1900</v>
      </c>
      <c r="Q21" s="7" t="s">
        <v>22</v>
      </c>
      <c r="R21" s="7" t="s">
        <v>24</v>
      </c>
      <c r="S21" s="7" t="s">
        <v>24</v>
      </c>
      <c r="T21" s="7">
        <v>1700</v>
      </c>
      <c r="U21" s="7" t="s">
        <v>22</v>
      </c>
      <c r="V21" s="7" t="s">
        <v>24</v>
      </c>
      <c r="W21" s="7" t="s">
        <v>24</v>
      </c>
      <c r="X21" s="7">
        <v>3300</v>
      </c>
      <c r="Y21" s="7" t="s">
        <v>22</v>
      </c>
    </row>
    <row r="22" spans="1:25" x14ac:dyDescent="0.35">
      <c r="A22" s="6" t="s">
        <v>36</v>
      </c>
      <c r="B22" s="7">
        <v>1200</v>
      </c>
      <c r="C22" s="7" t="s">
        <v>22</v>
      </c>
      <c r="D22" s="7">
        <v>2000</v>
      </c>
      <c r="E22" s="7" t="s">
        <v>22</v>
      </c>
      <c r="F22" s="7" t="s">
        <v>24</v>
      </c>
      <c r="G22" s="7" t="s">
        <v>24</v>
      </c>
      <c r="H22" s="7" t="s">
        <v>24</v>
      </c>
      <c r="I22" s="7" t="s">
        <v>24</v>
      </c>
      <c r="J22" s="7" t="s">
        <v>24</v>
      </c>
      <c r="K22" s="7" t="s">
        <v>24</v>
      </c>
      <c r="L22" s="7" t="s">
        <v>24</v>
      </c>
      <c r="M22" s="7" t="s">
        <v>24</v>
      </c>
      <c r="N22" s="7">
        <v>1100</v>
      </c>
      <c r="O22" s="7" t="s">
        <v>22</v>
      </c>
      <c r="P22" s="7">
        <v>700</v>
      </c>
      <c r="Q22" s="7" t="s">
        <v>22</v>
      </c>
      <c r="R22" s="7">
        <v>1100</v>
      </c>
      <c r="S22" s="7" t="s">
        <v>22</v>
      </c>
      <c r="T22" s="7">
        <v>600</v>
      </c>
      <c r="U22" s="7" t="s">
        <v>22</v>
      </c>
      <c r="V22" s="7" t="s">
        <v>24</v>
      </c>
      <c r="W22" s="7" t="s">
        <v>24</v>
      </c>
      <c r="X22" s="7">
        <v>4500</v>
      </c>
      <c r="Y22" s="7">
        <v>2700</v>
      </c>
    </row>
    <row r="23" spans="1:25" x14ac:dyDescent="0.35">
      <c r="A23" s="6" t="s">
        <v>37</v>
      </c>
      <c r="B23" s="7">
        <v>2100</v>
      </c>
      <c r="C23" s="7" t="s">
        <v>22</v>
      </c>
      <c r="D23" s="7">
        <v>10200</v>
      </c>
      <c r="E23" s="7">
        <v>4300</v>
      </c>
      <c r="F23" s="7">
        <v>1900</v>
      </c>
      <c r="G23" s="7" t="s">
        <v>22</v>
      </c>
      <c r="H23" s="7" t="s">
        <v>24</v>
      </c>
      <c r="I23" s="7" t="s">
        <v>24</v>
      </c>
      <c r="J23" s="7" t="s">
        <v>24</v>
      </c>
      <c r="K23" s="7" t="s">
        <v>24</v>
      </c>
      <c r="L23" s="7" t="s">
        <v>24</v>
      </c>
      <c r="M23" s="7" t="s">
        <v>24</v>
      </c>
      <c r="N23" s="7">
        <v>1700</v>
      </c>
      <c r="O23" s="7" t="s">
        <v>22</v>
      </c>
      <c r="P23" s="7">
        <v>5900</v>
      </c>
      <c r="Q23" s="7">
        <v>2400</v>
      </c>
      <c r="R23" s="7">
        <v>2600</v>
      </c>
      <c r="S23" s="7" t="s">
        <v>22</v>
      </c>
      <c r="T23" s="7">
        <v>2500</v>
      </c>
      <c r="U23" s="7">
        <v>1500</v>
      </c>
      <c r="V23" s="7" t="s">
        <v>24</v>
      </c>
      <c r="W23" s="7" t="s">
        <v>24</v>
      </c>
      <c r="X23" s="7">
        <v>8100</v>
      </c>
      <c r="Y23" s="7">
        <v>3600</v>
      </c>
    </row>
    <row r="24" spans="1:25" x14ac:dyDescent="0.35">
      <c r="A24" s="6" t="s">
        <v>38</v>
      </c>
      <c r="B24" s="7">
        <v>2100</v>
      </c>
      <c r="C24" s="7" t="s">
        <v>22</v>
      </c>
      <c r="D24" s="7">
        <v>8900</v>
      </c>
      <c r="E24" s="7">
        <v>4100</v>
      </c>
      <c r="F24" s="7" t="s">
        <v>24</v>
      </c>
      <c r="G24" s="7" t="s">
        <v>24</v>
      </c>
      <c r="H24" s="7">
        <v>1900</v>
      </c>
      <c r="I24" s="7" t="s">
        <v>22</v>
      </c>
      <c r="J24" s="7">
        <v>1900</v>
      </c>
      <c r="K24" s="7" t="s">
        <v>22</v>
      </c>
      <c r="L24" s="7">
        <v>3000</v>
      </c>
      <c r="M24" s="7" t="s">
        <v>22</v>
      </c>
      <c r="N24" s="7">
        <v>1900</v>
      </c>
      <c r="O24" s="7" t="s">
        <v>22</v>
      </c>
      <c r="P24" s="7">
        <v>2600</v>
      </c>
      <c r="Q24" s="7">
        <v>1600</v>
      </c>
      <c r="R24" s="7">
        <v>2800</v>
      </c>
      <c r="S24" s="7" t="s">
        <v>22</v>
      </c>
      <c r="T24" s="7">
        <v>3400</v>
      </c>
      <c r="U24" s="7">
        <v>1800</v>
      </c>
      <c r="V24" s="7" t="s">
        <v>24</v>
      </c>
      <c r="W24" s="7" t="s">
        <v>24</v>
      </c>
      <c r="X24" s="7">
        <v>2800</v>
      </c>
      <c r="Y24" s="7" t="s">
        <v>22</v>
      </c>
    </row>
    <row r="25" spans="1:25" x14ac:dyDescent="0.35">
      <c r="A25" s="6" t="s">
        <v>39</v>
      </c>
      <c r="B25" s="7">
        <v>1200</v>
      </c>
      <c r="C25" s="7" t="s">
        <v>22</v>
      </c>
      <c r="D25" s="7">
        <v>5300</v>
      </c>
      <c r="E25" s="7" t="s">
        <v>22</v>
      </c>
      <c r="F25" s="7" t="s">
        <v>24</v>
      </c>
      <c r="G25" s="7" t="s">
        <v>24</v>
      </c>
      <c r="H25" s="7" t="s">
        <v>24</v>
      </c>
      <c r="I25" s="7" t="s">
        <v>24</v>
      </c>
      <c r="J25" s="7" t="s">
        <v>24</v>
      </c>
      <c r="K25" s="7" t="s">
        <v>24</v>
      </c>
      <c r="L25" s="7" t="s">
        <v>24</v>
      </c>
      <c r="M25" s="7" t="s">
        <v>24</v>
      </c>
      <c r="N25" s="7">
        <v>1100</v>
      </c>
      <c r="O25" s="7" t="s">
        <v>22</v>
      </c>
      <c r="P25" s="7" t="s">
        <v>24</v>
      </c>
      <c r="Q25" s="7" t="s">
        <v>24</v>
      </c>
      <c r="R25" s="7">
        <v>1000</v>
      </c>
      <c r="S25" s="7" t="s">
        <v>22</v>
      </c>
      <c r="T25" s="7">
        <v>2100</v>
      </c>
      <c r="U25" s="7" t="s">
        <v>22</v>
      </c>
      <c r="V25" s="7" t="s">
        <v>24</v>
      </c>
      <c r="W25" s="7" t="s">
        <v>24</v>
      </c>
      <c r="X25" s="7">
        <v>1600</v>
      </c>
      <c r="Y25" s="7" t="s">
        <v>22</v>
      </c>
    </row>
    <row r="26" spans="1:25" x14ac:dyDescent="0.35">
      <c r="A26" s="6" t="s">
        <v>40</v>
      </c>
      <c r="B26" s="7">
        <v>6800</v>
      </c>
      <c r="C26" s="7">
        <v>2400</v>
      </c>
      <c r="D26" s="7">
        <v>15000</v>
      </c>
      <c r="E26" s="7">
        <v>5300</v>
      </c>
      <c r="F26" s="7">
        <v>4200</v>
      </c>
      <c r="G26" s="7" t="s">
        <v>22</v>
      </c>
      <c r="H26" s="7">
        <v>1500</v>
      </c>
      <c r="I26" s="7" t="s">
        <v>22</v>
      </c>
      <c r="J26" s="7">
        <v>1300</v>
      </c>
      <c r="K26" s="7" t="s">
        <v>22</v>
      </c>
      <c r="L26" s="7">
        <v>3500</v>
      </c>
      <c r="M26" s="7" t="s">
        <v>22</v>
      </c>
      <c r="N26" s="7">
        <v>5400</v>
      </c>
      <c r="O26" s="7">
        <v>1900</v>
      </c>
      <c r="P26" s="7">
        <v>7700</v>
      </c>
      <c r="Q26" s="7">
        <v>2800</v>
      </c>
      <c r="R26" s="7">
        <v>4900</v>
      </c>
      <c r="S26" s="7">
        <v>2900</v>
      </c>
      <c r="T26" s="7">
        <v>10100</v>
      </c>
      <c r="U26" s="7">
        <v>3100</v>
      </c>
      <c r="V26" s="7">
        <v>1700</v>
      </c>
      <c r="W26" s="7" t="s">
        <v>22</v>
      </c>
      <c r="X26" s="7">
        <v>15800</v>
      </c>
      <c r="Y26" s="7">
        <v>5100</v>
      </c>
    </row>
    <row r="27" spans="1:25" x14ac:dyDescent="0.35">
      <c r="A27" s="6" t="s">
        <v>41</v>
      </c>
      <c r="B27" s="7">
        <v>1300</v>
      </c>
      <c r="C27" s="7" t="s">
        <v>22</v>
      </c>
      <c r="D27" s="7">
        <v>3200</v>
      </c>
      <c r="E27" s="7" t="s">
        <v>22</v>
      </c>
      <c r="F27" s="7" t="s">
        <v>24</v>
      </c>
      <c r="G27" s="7" t="s">
        <v>24</v>
      </c>
      <c r="H27" s="7">
        <v>1700</v>
      </c>
      <c r="I27" s="7" t="s">
        <v>22</v>
      </c>
      <c r="J27" s="7" t="s">
        <v>24</v>
      </c>
      <c r="K27" s="7" t="s">
        <v>24</v>
      </c>
      <c r="L27" s="7" t="s">
        <v>24</v>
      </c>
      <c r="M27" s="7" t="s">
        <v>24</v>
      </c>
      <c r="N27" s="7">
        <v>3600</v>
      </c>
      <c r="O27" s="7">
        <v>1500</v>
      </c>
      <c r="P27" s="7">
        <v>1400</v>
      </c>
      <c r="Q27" s="7" t="s">
        <v>22</v>
      </c>
      <c r="R27" s="7" t="s">
        <v>24</v>
      </c>
      <c r="S27" s="7" t="s">
        <v>24</v>
      </c>
      <c r="T27" s="7">
        <v>1200</v>
      </c>
      <c r="U27" s="7" t="s">
        <v>22</v>
      </c>
      <c r="V27" s="7" t="s">
        <v>24</v>
      </c>
      <c r="W27" s="7" t="s">
        <v>24</v>
      </c>
      <c r="X27" s="7">
        <v>3300</v>
      </c>
      <c r="Y27" s="7" t="s">
        <v>22</v>
      </c>
    </row>
    <row r="28" spans="1:25" x14ac:dyDescent="0.35">
      <c r="A28" s="6" t="s">
        <v>42</v>
      </c>
      <c r="B28" s="7" t="s">
        <v>24</v>
      </c>
      <c r="C28" s="7" t="s">
        <v>24</v>
      </c>
      <c r="D28" s="7" t="s">
        <v>24</v>
      </c>
      <c r="E28" s="7" t="s">
        <v>24</v>
      </c>
      <c r="F28" s="7" t="s">
        <v>24</v>
      </c>
      <c r="G28" s="7" t="s">
        <v>24</v>
      </c>
      <c r="H28" s="7" t="s">
        <v>24</v>
      </c>
      <c r="I28" s="7" t="s">
        <v>24</v>
      </c>
      <c r="J28" s="7" t="s">
        <v>24</v>
      </c>
      <c r="K28" s="7" t="s">
        <v>24</v>
      </c>
      <c r="L28" s="7" t="s">
        <v>24</v>
      </c>
      <c r="M28" s="7" t="s">
        <v>24</v>
      </c>
      <c r="N28" s="7" t="s">
        <v>24</v>
      </c>
      <c r="O28" s="7" t="s">
        <v>24</v>
      </c>
      <c r="P28" s="7" t="s">
        <v>24</v>
      </c>
      <c r="Q28" s="7" t="s">
        <v>24</v>
      </c>
      <c r="R28" s="7" t="s">
        <v>24</v>
      </c>
      <c r="S28" s="7" t="s">
        <v>24</v>
      </c>
      <c r="T28" s="7" t="s">
        <v>24</v>
      </c>
      <c r="U28" s="7" t="s">
        <v>24</v>
      </c>
      <c r="V28" s="7" t="s">
        <v>24</v>
      </c>
      <c r="W28" s="7" t="s">
        <v>24</v>
      </c>
      <c r="X28" s="7" t="s">
        <v>24</v>
      </c>
      <c r="Y28" s="7" t="s">
        <v>24</v>
      </c>
    </row>
    <row r="29" spans="1:25" x14ac:dyDescent="0.35">
      <c r="A29" s="6" t="s">
        <v>43</v>
      </c>
      <c r="B29" s="7">
        <v>6700</v>
      </c>
      <c r="C29" s="7">
        <v>2400</v>
      </c>
      <c r="D29" s="7">
        <v>12600</v>
      </c>
      <c r="E29" s="7">
        <v>4800</v>
      </c>
      <c r="F29" s="7">
        <v>2100</v>
      </c>
      <c r="G29" s="7" t="s">
        <v>22</v>
      </c>
      <c r="H29" s="7">
        <v>1500</v>
      </c>
      <c r="I29" s="7" t="s">
        <v>22</v>
      </c>
      <c r="J29" s="7" t="s">
        <v>24</v>
      </c>
      <c r="K29" s="7" t="s">
        <v>24</v>
      </c>
      <c r="L29" s="7">
        <v>7900</v>
      </c>
      <c r="M29" s="7">
        <v>4300</v>
      </c>
      <c r="N29" s="7">
        <v>5600</v>
      </c>
      <c r="O29" s="7">
        <v>1900</v>
      </c>
      <c r="P29" s="7">
        <v>4700</v>
      </c>
      <c r="Q29" s="7">
        <v>2200</v>
      </c>
      <c r="R29" s="7" t="s">
        <v>24</v>
      </c>
      <c r="S29" s="7" t="s">
        <v>24</v>
      </c>
      <c r="T29" s="7">
        <v>7500</v>
      </c>
      <c r="U29" s="7">
        <v>2700</v>
      </c>
      <c r="V29" s="7" t="s">
        <v>24</v>
      </c>
      <c r="W29" s="7" t="s">
        <v>24</v>
      </c>
      <c r="X29" s="7">
        <v>6500</v>
      </c>
      <c r="Y29" s="7">
        <v>3300</v>
      </c>
    </row>
    <row r="30" spans="1:25" x14ac:dyDescent="0.35">
      <c r="A30" s="6" t="s">
        <v>44</v>
      </c>
      <c r="B30" s="7" t="s">
        <v>24</v>
      </c>
      <c r="C30" s="7" t="s">
        <v>24</v>
      </c>
      <c r="D30" s="7">
        <v>3900</v>
      </c>
      <c r="E30" s="7" t="s">
        <v>22</v>
      </c>
      <c r="F30" s="7" t="s">
        <v>24</v>
      </c>
      <c r="G30" s="7" t="s">
        <v>24</v>
      </c>
      <c r="H30" s="7" t="s">
        <v>24</v>
      </c>
      <c r="I30" s="7" t="s">
        <v>24</v>
      </c>
      <c r="J30" s="7" t="s">
        <v>24</v>
      </c>
      <c r="K30" s="7" t="s">
        <v>24</v>
      </c>
      <c r="L30" s="7" t="s">
        <v>24</v>
      </c>
      <c r="M30" s="7" t="s">
        <v>24</v>
      </c>
      <c r="N30" s="7">
        <v>1000</v>
      </c>
      <c r="O30" s="7" t="s">
        <v>22</v>
      </c>
      <c r="P30" s="7">
        <v>900</v>
      </c>
      <c r="Q30" s="7" t="s">
        <v>22</v>
      </c>
      <c r="R30" s="7" t="s">
        <v>24</v>
      </c>
      <c r="S30" s="7" t="s">
        <v>24</v>
      </c>
      <c r="T30" s="7">
        <v>1700</v>
      </c>
      <c r="U30" s="7" t="s">
        <v>22</v>
      </c>
      <c r="V30" s="7" t="s">
        <v>24</v>
      </c>
      <c r="W30" s="7" t="s">
        <v>24</v>
      </c>
      <c r="X30" s="7">
        <v>4300</v>
      </c>
      <c r="Y30" s="7" t="s">
        <v>22</v>
      </c>
    </row>
    <row r="31" spans="1:25" x14ac:dyDescent="0.35">
      <c r="A31" s="6" t="s">
        <v>45</v>
      </c>
      <c r="B31" s="7">
        <v>2300</v>
      </c>
      <c r="C31" s="7" t="s">
        <v>22</v>
      </c>
      <c r="D31" s="7">
        <v>5400</v>
      </c>
      <c r="E31" s="7">
        <v>3100</v>
      </c>
      <c r="F31" s="7" t="s">
        <v>24</v>
      </c>
      <c r="G31" s="7" t="s">
        <v>24</v>
      </c>
      <c r="H31" s="7" t="s">
        <v>24</v>
      </c>
      <c r="I31" s="7" t="s">
        <v>24</v>
      </c>
      <c r="J31" s="7" t="s">
        <v>24</v>
      </c>
      <c r="K31" s="7" t="s">
        <v>24</v>
      </c>
      <c r="L31" s="7" t="s">
        <v>24</v>
      </c>
      <c r="M31" s="7" t="s">
        <v>24</v>
      </c>
      <c r="N31" s="7">
        <v>2100</v>
      </c>
      <c r="O31" s="7">
        <v>1200</v>
      </c>
      <c r="P31" s="7">
        <v>1200</v>
      </c>
      <c r="Q31" s="7" t="s">
        <v>22</v>
      </c>
      <c r="R31" s="7" t="s">
        <v>24</v>
      </c>
      <c r="S31" s="7" t="s">
        <v>24</v>
      </c>
      <c r="T31" s="7">
        <v>2800</v>
      </c>
      <c r="U31" s="7" t="s">
        <v>22</v>
      </c>
      <c r="V31" s="7">
        <v>2800</v>
      </c>
      <c r="W31" s="7" t="s">
        <v>22</v>
      </c>
      <c r="X31" s="7">
        <v>6300</v>
      </c>
      <c r="Y31" s="7">
        <v>3200</v>
      </c>
    </row>
    <row r="32" spans="1:25" x14ac:dyDescent="0.35">
      <c r="A32" s="6" t="s">
        <v>46</v>
      </c>
      <c r="B32" s="7">
        <v>1800</v>
      </c>
      <c r="C32" s="7" t="s">
        <v>22</v>
      </c>
      <c r="D32" s="7">
        <v>15900</v>
      </c>
      <c r="E32" s="7">
        <v>5400</v>
      </c>
      <c r="F32" s="7" t="s">
        <v>24</v>
      </c>
      <c r="G32" s="7" t="s">
        <v>24</v>
      </c>
      <c r="H32" s="7">
        <v>1000</v>
      </c>
      <c r="I32" s="7" t="s">
        <v>22</v>
      </c>
      <c r="J32" s="7" t="s">
        <v>24</v>
      </c>
      <c r="K32" s="7" t="s">
        <v>24</v>
      </c>
      <c r="L32" s="7">
        <v>4600</v>
      </c>
      <c r="M32" s="7" t="s">
        <v>22</v>
      </c>
      <c r="N32" s="7">
        <v>1800</v>
      </c>
      <c r="O32" s="7" t="s">
        <v>22</v>
      </c>
      <c r="P32" s="7">
        <v>1400</v>
      </c>
      <c r="Q32" s="7" t="s">
        <v>22</v>
      </c>
      <c r="R32" s="7" t="s">
        <v>24</v>
      </c>
      <c r="S32" s="7" t="s">
        <v>24</v>
      </c>
      <c r="T32" s="7">
        <v>2900</v>
      </c>
      <c r="U32" s="7">
        <v>1700</v>
      </c>
      <c r="V32" s="7" t="s">
        <v>24</v>
      </c>
      <c r="W32" s="7" t="s">
        <v>24</v>
      </c>
      <c r="X32" s="7">
        <v>7600</v>
      </c>
      <c r="Y32" s="7">
        <v>3500</v>
      </c>
    </row>
    <row r="33" spans="1:25" x14ac:dyDescent="0.35">
      <c r="A33" s="6" t="s">
        <v>47</v>
      </c>
      <c r="B33" s="7">
        <v>800</v>
      </c>
      <c r="C33" s="7" t="s">
        <v>22</v>
      </c>
      <c r="D33" s="7">
        <v>3700</v>
      </c>
      <c r="E33" s="7" t="s">
        <v>22</v>
      </c>
      <c r="F33" s="7" t="s">
        <v>24</v>
      </c>
      <c r="G33" s="7" t="s">
        <v>24</v>
      </c>
      <c r="H33" s="7" t="s">
        <v>24</v>
      </c>
      <c r="I33" s="7" t="s">
        <v>24</v>
      </c>
      <c r="J33" s="7" t="s">
        <v>24</v>
      </c>
      <c r="K33" s="7" t="s">
        <v>24</v>
      </c>
      <c r="L33" s="7" t="s">
        <v>24</v>
      </c>
      <c r="M33" s="7" t="s">
        <v>24</v>
      </c>
      <c r="N33" s="7">
        <v>1200</v>
      </c>
      <c r="O33" s="7" t="s">
        <v>22</v>
      </c>
      <c r="P33" s="7" t="s">
        <v>24</v>
      </c>
      <c r="Q33" s="7" t="s">
        <v>24</v>
      </c>
      <c r="R33" s="7" t="s">
        <v>24</v>
      </c>
      <c r="S33" s="7" t="s">
        <v>24</v>
      </c>
      <c r="T33" s="7" t="s">
        <v>24</v>
      </c>
      <c r="U33" s="7" t="s">
        <v>24</v>
      </c>
      <c r="V33" s="7" t="s">
        <v>24</v>
      </c>
      <c r="W33" s="7" t="s">
        <v>24</v>
      </c>
      <c r="X33" s="7">
        <v>4900</v>
      </c>
      <c r="Y33" s="7">
        <v>2800</v>
      </c>
    </row>
    <row r="34" spans="1:25" x14ac:dyDescent="0.35">
      <c r="A34" s="6" t="s">
        <v>48</v>
      </c>
      <c r="B34" s="7">
        <v>9600</v>
      </c>
      <c r="C34" s="7">
        <v>2900</v>
      </c>
      <c r="D34" s="7">
        <v>24200</v>
      </c>
      <c r="E34" s="7">
        <v>6700</v>
      </c>
      <c r="F34" s="7">
        <v>4500</v>
      </c>
      <c r="G34" s="7" t="s">
        <v>22</v>
      </c>
      <c r="H34" s="7">
        <v>1500</v>
      </c>
      <c r="I34" s="7" t="s">
        <v>22</v>
      </c>
      <c r="J34" s="7">
        <v>4600</v>
      </c>
      <c r="K34" s="7" t="s">
        <v>22</v>
      </c>
      <c r="L34" s="7">
        <v>3300</v>
      </c>
      <c r="M34" s="7" t="s">
        <v>22</v>
      </c>
      <c r="N34" s="7">
        <v>7300</v>
      </c>
      <c r="O34" s="7">
        <v>2200</v>
      </c>
      <c r="P34" s="7">
        <v>5000</v>
      </c>
      <c r="Q34" s="7">
        <v>2200</v>
      </c>
      <c r="R34" s="7">
        <v>4800</v>
      </c>
      <c r="S34" s="7">
        <v>2800</v>
      </c>
      <c r="T34" s="7">
        <v>11000</v>
      </c>
      <c r="U34" s="7">
        <v>3200</v>
      </c>
      <c r="V34" s="7">
        <v>1500</v>
      </c>
      <c r="W34" s="7" t="s">
        <v>22</v>
      </c>
      <c r="X34" s="7">
        <v>17900</v>
      </c>
      <c r="Y34" s="7">
        <v>5400</v>
      </c>
    </row>
    <row r="36" spans="1:25" x14ac:dyDescent="0.35">
      <c r="A36" s="34" t="s">
        <v>49</v>
      </c>
    </row>
    <row r="37" spans="1:25" x14ac:dyDescent="0.35">
      <c r="A37" s="8" t="s">
        <v>50</v>
      </c>
    </row>
  </sheetData>
  <mergeCells count="12">
    <mergeCell ref="B7:C7"/>
    <mergeCell ref="D7:E7"/>
    <mergeCell ref="F7:G7"/>
    <mergeCell ref="H7:I7"/>
    <mergeCell ref="J7:K7"/>
    <mergeCell ref="V7:W7"/>
    <mergeCell ref="X7:Y7"/>
    <mergeCell ref="L7:M7"/>
    <mergeCell ref="N7:O7"/>
    <mergeCell ref="P7:Q7"/>
    <mergeCell ref="R7:S7"/>
    <mergeCell ref="T7:U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22705-B9C8-4504-A0AE-68C7D6A14401}">
  <dimension ref="A1:N5"/>
  <sheetViews>
    <sheetView workbookViewId="0"/>
  </sheetViews>
  <sheetFormatPr defaultRowHeight="14.5" x14ac:dyDescent="0.35"/>
  <cols>
    <col min="1" max="1" width="43.1796875" bestFit="1" customWidth="1"/>
    <col min="2" max="2" width="27.453125" bestFit="1" customWidth="1"/>
    <col min="3" max="3" width="14.26953125" bestFit="1" customWidth="1"/>
    <col min="4" max="4" width="13" bestFit="1" customWidth="1"/>
    <col min="5" max="5" width="10.6328125" bestFit="1" customWidth="1"/>
    <col min="6" max="6" width="14.81640625" bestFit="1" customWidth="1"/>
    <col min="7" max="7" width="12" bestFit="1" customWidth="1"/>
    <col min="8" max="8" width="15.81640625" bestFit="1" customWidth="1"/>
    <col min="9" max="9" width="21.1796875" bestFit="1" customWidth="1"/>
    <col min="10" max="10" width="8.36328125" bestFit="1" customWidth="1"/>
    <col min="11" max="11" width="9.81640625" bestFit="1" customWidth="1"/>
    <col min="12" max="12" width="13.453125" bestFit="1" customWidth="1"/>
    <col min="13" max="13" width="10.26953125" bestFit="1" customWidth="1"/>
    <col min="14" max="14" width="16.08984375" bestFit="1" customWidth="1"/>
    <col min="15" max="15" width="16.453125" bestFit="1" customWidth="1"/>
  </cols>
  <sheetData>
    <row r="1" spans="1:14" x14ac:dyDescent="0.35">
      <c r="A1" t="s">
        <v>80</v>
      </c>
      <c r="B1" t="s">
        <v>6</v>
      </c>
      <c r="C1" t="s">
        <v>7</v>
      </c>
      <c r="D1" t="s">
        <v>8</v>
      </c>
      <c r="E1" t="s">
        <v>9</v>
      </c>
      <c r="F1" t="s">
        <v>10</v>
      </c>
      <c r="G1" t="s">
        <v>11</v>
      </c>
      <c r="H1" t="s">
        <v>12</v>
      </c>
      <c r="I1" t="s">
        <v>13</v>
      </c>
      <c r="J1" t="s">
        <v>14</v>
      </c>
      <c r="K1" t="s">
        <v>15</v>
      </c>
      <c r="L1" t="s">
        <v>79</v>
      </c>
      <c r="M1" t="s">
        <v>17</v>
      </c>
      <c r="N1" t="s">
        <v>78</v>
      </c>
    </row>
    <row r="2" spans="1:14" x14ac:dyDescent="0.35">
      <c r="A2" t="s">
        <v>81</v>
      </c>
      <c r="B2">
        <v>66300</v>
      </c>
      <c r="C2">
        <v>232000</v>
      </c>
      <c r="D2">
        <v>49700</v>
      </c>
      <c r="E2">
        <v>25600</v>
      </c>
      <c r="F2">
        <v>19400</v>
      </c>
      <c r="G2">
        <v>48300</v>
      </c>
      <c r="H2">
        <v>44700</v>
      </c>
      <c r="I2">
        <v>63000</v>
      </c>
      <c r="J2">
        <v>31100</v>
      </c>
      <c r="K2">
        <v>58000</v>
      </c>
      <c r="L2">
        <v>20800</v>
      </c>
      <c r="M2">
        <v>148900</v>
      </c>
      <c r="N2">
        <v>194900</v>
      </c>
    </row>
    <row r="3" spans="1:14" x14ac:dyDescent="0.35">
      <c r="A3" t="s">
        <v>82</v>
      </c>
      <c r="B3">
        <v>15700</v>
      </c>
      <c r="C3">
        <v>43400</v>
      </c>
      <c r="D3">
        <v>7400</v>
      </c>
      <c r="E3">
        <v>6300</v>
      </c>
      <c r="F3">
        <v>5400</v>
      </c>
      <c r="G3">
        <v>9800</v>
      </c>
      <c r="H3">
        <v>11700</v>
      </c>
      <c r="I3">
        <v>21600</v>
      </c>
      <c r="J3">
        <v>10500</v>
      </c>
      <c r="K3">
        <v>18800</v>
      </c>
      <c r="L3">
        <v>3700</v>
      </c>
      <c r="M3">
        <v>37900</v>
      </c>
      <c r="N3">
        <v>43100</v>
      </c>
    </row>
    <row r="4" spans="1:14" x14ac:dyDescent="0.35">
      <c r="A4" t="s">
        <v>83</v>
      </c>
      <c r="B4">
        <v>14800</v>
      </c>
      <c r="C4">
        <v>34700</v>
      </c>
      <c r="D4">
        <v>6300</v>
      </c>
      <c r="E4">
        <v>4700</v>
      </c>
      <c r="F4">
        <v>1300</v>
      </c>
      <c r="G4">
        <v>11400</v>
      </c>
      <c r="H4">
        <v>15600</v>
      </c>
      <c r="I4">
        <v>14700</v>
      </c>
      <c r="J4">
        <v>4900</v>
      </c>
      <c r="K4">
        <v>20500</v>
      </c>
      <c r="L4">
        <v>1700</v>
      </c>
      <c r="M4">
        <v>29900</v>
      </c>
      <c r="N4">
        <v>30300</v>
      </c>
    </row>
    <row r="5" spans="1:14" x14ac:dyDescent="0.35">
      <c r="A5" t="s">
        <v>84</v>
      </c>
      <c r="B5">
        <v>14500</v>
      </c>
      <c r="C5">
        <v>49200</v>
      </c>
      <c r="D5">
        <v>4500</v>
      </c>
      <c r="E5">
        <v>2500</v>
      </c>
      <c r="F5">
        <v>4600</v>
      </c>
      <c r="G5">
        <v>7900</v>
      </c>
      <c r="H5">
        <v>12400</v>
      </c>
      <c r="I5">
        <v>7600</v>
      </c>
      <c r="J5">
        <v>4800</v>
      </c>
      <c r="K5">
        <v>16700</v>
      </c>
      <c r="L5">
        <v>4300</v>
      </c>
      <c r="M5">
        <v>36700</v>
      </c>
      <c r="N5">
        <v>28600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EB7DD-BF7D-4B43-A9CA-E4F1D165B302}">
  <dimension ref="A1:N27"/>
  <sheetViews>
    <sheetView workbookViewId="0"/>
  </sheetViews>
  <sheetFormatPr defaultRowHeight="14.5" x14ac:dyDescent="0.35"/>
  <cols>
    <col min="1" max="1" width="29.6328125" customWidth="1"/>
    <col min="2" max="2" width="29" customWidth="1"/>
    <col min="3" max="3" width="15.1796875" customWidth="1"/>
    <col min="4" max="4" width="13" customWidth="1"/>
    <col min="5" max="5" width="10.81640625" customWidth="1"/>
    <col min="6" max="6" width="15.54296875" customWidth="1"/>
    <col min="7" max="7" width="12.26953125" customWidth="1"/>
    <col min="8" max="8" width="16.36328125" customWidth="1"/>
    <col min="9" max="9" width="22.1796875" customWidth="1"/>
    <col min="11" max="11" width="10.1796875" customWidth="1"/>
    <col min="12" max="12" width="13.26953125" customWidth="1"/>
    <col min="13" max="13" width="10.36328125" customWidth="1"/>
    <col min="14" max="14" width="16.54296875" customWidth="1"/>
  </cols>
  <sheetData>
    <row r="1" spans="1:14" ht="26" customHeight="1" x14ac:dyDescent="0.35">
      <c r="A1" t="s">
        <v>51</v>
      </c>
      <c r="B1" s="10" t="s">
        <v>6</v>
      </c>
      <c r="C1" s="10" t="s">
        <v>7</v>
      </c>
      <c r="D1" s="10" t="s">
        <v>8</v>
      </c>
      <c r="E1" s="10" t="s">
        <v>9</v>
      </c>
      <c r="F1" s="10" t="s">
        <v>10</v>
      </c>
      <c r="G1" s="10" t="s">
        <v>11</v>
      </c>
      <c r="H1" s="10" t="s">
        <v>12</v>
      </c>
      <c r="I1" s="10" t="s">
        <v>13</v>
      </c>
      <c r="J1" s="10" t="s">
        <v>14</v>
      </c>
      <c r="K1" s="10" t="s">
        <v>15</v>
      </c>
      <c r="L1" s="10" t="s">
        <v>16</v>
      </c>
      <c r="M1" s="10" t="s">
        <v>17</v>
      </c>
      <c r="N1" s="10" t="s">
        <v>78</v>
      </c>
    </row>
    <row r="2" spans="1:14" x14ac:dyDescent="0.35">
      <c r="A2" s="6" t="s">
        <v>52</v>
      </c>
      <c r="B2" s="7">
        <v>8600</v>
      </c>
      <c r="C2" s="7">
        <v>25400</v>
      </c>
      <c r="D2" s="7">
        <v>9700</v>
      </c>
      <c r="E2" s="7">
        <v>7400</v>
      </c>
      <c r="F2" s="7">
        <v>3300</v>
      </c>
      <c r="G2" s="7">
        <v>9200</v>
      </c>
      <c r="H2" s="7">
        <v>5500</v>
      </c>
      <c r="I2" s="7">
        <v>10000</v>
      </c>
      <c r="J2" s="7">
        <v>6000</v>
      </c>
      <c r="K2" s="7">
        <v>11500</v>
      </c>
      <c r="L2" s="7">
        <v>5300</v>
      </c>
      <c r="M2" s="7">
        <v>31100</v>
      </c>
      <c r="N2" s="11">
        <f>SUM(D2,E2,F2,G2,J2,L2)</f>
        <v>40900</v>
      </c>
    </row>
    <row r="3" spans="1:14" x14ac:dyDescent="0.35">
      <c r="A3" s="6" t="s">
        <v>53</v>
      </c>
      <c r="B3" s="7">
        <v>4500</v>
      </c>
      <c r="C3" s="7">
        <v>9500</v>
      </c>
      <c r="D3" s="7">
        <v>2300</v>
      </c>
      <c r="E3" s="7">
        <v>3000</v>
      </c>
      <c r="F3" s="7">
        <v>900</v>
      </c>
      <c r="G3" s="7">
        <v>4000</v>
      </c>
      <c r="H3" s="7">
        <v>3100</v>
      </c>
      <c r="I3" s="7">
        <v>2500</v>
      </c>
      <c r="J3" s="7">
        <v>0</v>
      </c>
      <c r="K3" s="7">
        <v>3600</v>
      </c>
      <c r="L3" s="7">
        <v>3300</v>
      </c>
      <c r="M3" s="7">
        <v>10100</v>
      </c>
      <c r="N3" s="11">
        <f t="shared" ref="N3:N27" si="0">SUM(D3,E3,F3,G3,J3,L3)</f>
        <v>13500</v>
      </c>
    </row>
    <row r="4" spans="1:14" x14ac:dyDescent="0.35">
      <c r="A4" s="6" t="s">
        <v>54</v>
      </c>
      <c r="B4" s="7">
        <v>10600</v>
      </c>
      <c r="C4" s="7">
        <v>50000</v>
      </c>
      <c r="D4" s="7">
        <v>6300</v>
      </c>
      <c r="E4" s="7">
        <v>2600</v>
      </c>
      <c r="F4" s="7">
        <v>3500</v>
      </c>
      <c r="G4" s="7">
        <v>6900</v>
      </c>
      <c r="H4" s="7">
        <v>5600</v>
      </c>
      <c r="I4" s="7">
        <v>13500</v>
      </c>
      <c r="J4" s="7">
        <v>4200</v>
      </c>
      <c r="K4" s="7">
        <v>9100</v>
      </c>
      <c r="L4" s="7">
        <v>2400</v>
      </c>
      <c r="M4" s="7">
        <v>24000</v>
      </c>
      <c r="N4" s="11">
        <f t="shared" si="0"/>
        <v>25900</v>
      </c>
    </row>
    <row r="5" spans="1:14" x14ac:dyDescent="0.35">
      <c r="A5" s="6" t="s">
        <v>55</v>
      </c>
      <c r="B5" s="7">
        <v>6600</v>
      </c>
      <c r="C5" s="7">
        <v>20900</v>
      </c>
      <c r="D5" s="7">
        <v>4700</v>
      </c>
      <c r="E5" s="7">
        <v>0</v>
      </c>
      <c r="F5" s="7">
        <v>3800</v>
      </c>
      <c r="G5" s="7">
        <v>6400</v>
      </c>
      <c r="H5" s="7">
        <v>2800</v>
      </c>
      <c r="I5" s="7">
        <v>3200</v>
      </c>
      <c r="J5" s="7">
        <v>6400</v>
      </c>
      <c r="K5" s="7">
        <v>3400</v>
      </c>
      <c r="L5" s="7">
        <v>0</v>
      </c>
      <c r="M5" s="7">
        <v>11900</v>
      </c>
      <c r="N5" s="11">
        <f t="shared" si="0"/>
        <v>21300</v>
      </c>
    </row>
    <row r="6" spans="1:14" x14ac:dyDescent="0.35">
      <c r="A6" s="6" t="s">
        <v>56</v>
      </c>
      <c r="B6" s="7">
        <v>8300</v>
      </c>
      <c r="C6" s="7">
        <v>25800</v>
      </c>
      <c r="D6" s="7">
        <v>7800</v>
      </c>
      <c r="E6" s="7">
        <v>1700</v>
      </c>
      <c r="F6" s="7">
        <v>1600</v>
      </c>
      <c r="G6" s="7">
        <v>1600</v>
      </c>
      <c r="H6" s="7">
        <v>5600</v>
      </c>
      <c r="I6" s="7">
        <v>4400</v>
      </c>
      <c r="J6" s="7">
        <v>3400</v>
      </c>
      <c r="K6" s="7">
        <v>4200</v>
      </c>
      <c r="L6" s="7">
        <v>0</v>
      </c>
      <c r="M6" s="7">
        <v>14200</v>
      </c>
      <c r="N6" s="11">
        <f t="shared" si="0"/>
        <v>16100</v>
      </c>
    </row>
    <row r="7" spans="1:14" x14ac:dyDescent="0.35">
      <c r="A7" s="6" t="s">
        <v>57</v>
      </c>
      <c r="B7" s="7">
        <v>12000</v>
      </c>
      <c r="C7" s="7">
        <v>38200</v>
      </c>
      <c r="D7" s="7">
        <v>11700</v>
      </c>
      <c r="E7" s="7">
        <v>5800</v>
      </c>
      <c r="F7" s="7">
        <v>2100</v>
      </c>
      <c r="G7" s="7">
        <v>5000</v>
      </c>
      <c r="H7" s="7">
        <v>5700</v>
      </c>
      <c r="I7" s="7">
        <v>10100</v>
      </c>
      <c r="J7" s="7">
        <v>3300</v>
      </c>
      <c r="K7" s="7">
        <v>7300</v>
      </c>
      <c r="L7" s="7">
        <v>5200</v>
      </c>
      <c r="M7" s="7">
        <v>24100</v>
      </c>
      <c r="N7" s="11">
        <f t="shared" si="0"/>
        <v>33100</v>
      </c>
    </row>
    <row r="8" spans="1:14" x14ac:dyDescent="0.35">
      <c r="A8" s="6" t="s">
        <v>58</v>
      </c>
      <c r="B8" s="7">
        <v>3000</v>
      </c>
      <c r="C8" s="7">
        <v>8900</v>
      </c>
      <c r="D8" s="7">
        <v>0</v>
      </c>
      <c r="E8" s="7">
        <v>0</v>
      </c>
      <c r="F8" s="7">
        <v>0</v>
      </c>
      <c r="G8" s="7">
        <v>2600</v>
      </c>
      <c r="H8" s="7">
        <v>1600</v>
      </c>
      <c r="I8" s="7">
        <v>3300</v>
      </c>
      <c r="J8" s="7">
        <v>0</v>
      </c>
      <c r="K8" s="7">
        <v>2800</v>
      </c>
      <c r="L8" s="7">
        <v>0</v>
      </c>
      <c r="M8" s="7">
        <v>5400</v>
      </c>
      <c r="N8" s="11">
        <f t="shared" si="0"/>
        <v>2600</v>
      </c>
    </row>
    <row r="9" spans="1:14" x14ac:dyDescent="0.35">
      <c r="A9" s="6" t="s">
        <v>59</v>
      </c>
      <c r="B9" s="7">
        <v>3600</v>
      </c>
      <c r="C9" s="7">
        <v>8600</v>
      </c>
      <c r="D9" s="7">
        <v>2300</v>
      </c>
      <c r="E9" s="7">
        <v>0</v>
      </c>
      <c r="F9" s="7">
        <v>0</v>
      </c>
      <c r="G9" s="7">
        <v>0</v>
      </c>
      <c r="H9" s="7">
        <v>3500</v>
      </c>
      <c r="I9" s="7">
        <v>1300</v>
      </c>
      <c r="J9" s="7">
        <v>1300</v>
      </c>
      <c r="K9" s="7">
        <v>2200</v>
      </c>
      <c r="L9" s="7">
        <v>2400</v>
      </c>
      <c r="M9" s="7">
        <v>3800</v>
      </c>
      <c r="N9" s="11">
        <f t="shared" si="0"/>
        <v>6000</v>
      </c>
    </row>
    <row r="10" spans="1:14" x14ac:dyDescent="0.35">
      <c r="A10" s="6" t="s">
        <v>60</v>
      </c>
      <c r="B10" s="7">
        <v>1400</v>
      </c>
      <c r="C10" s="7">
        <v>4100</v>
      </c>
      <c r="D10" s="7">
        <v>0</v>
      </c>
      <c r="E10" s="7">
        <v>0</v>
      </c>
      <c r="F10" s="7">
        <v>0</v>
      </c>
      <c r="G10" s="7">
        <v>5400</v>
      </c>
      <c r="H10" s="7">
        <v>700</v>
      </c>
      <c r="I10" s="7">
        <v>1200</v>
      </c>
      <c r="J10" s="7">
        <v>0</v>
      </c>
      <c r="K10" s="7">
        <v>1900</v>
      </c>
      <c r="L10" s="7">
        <v>0</v>
      </c>
      <c r="M10" s="7">
        <v>3900</v>
      </c>
      <c r="N10" s="11">
        <f t="shared" si="0"/>
        <v>5400</v>
      </c>
    </row>
    <row r="11" spans="1:14" x14ac:dyDescent="0.35">
      <c r="A11" s="6" t="s">
        <v>61</v>
      </c>
      <c r="B11" s="7">
        <v>1900</v>
      </c>
      <c r="C11" s="7">
        <v>13800</v>
      </c>
      <c r="D11" s="7">
        <v>0</v>
      </c>
      <c r="E11" s="7">
        <v>1800</v>
      </c>
      <c r="F11" s="7">
        <v>1800</v>
      </c>
      <c r="G11" s="7">
        <v>1400</v>
      </c>
      <c r="H11" s="7">
        <v>2200</v>
      </c>
      <c r="I11" s="7">
        <v>4500</v>
      </c>
      <c r="J11" s="7">
        <v>2200</v>
      </c>
      <c r="K11" s="7">
        <v>2500</v>
      </c>
      <c r="L11" s="7">
        <v>0</v>
      </c>
      <c r="M11" s="7">
        <v>4400</v>
      </c>
      <c r="N11" s="11">
        <f t="shared" si="0"/>
        <v>7200</v>
      </c>
    </row>
    <row r="12" spans="1:14" x14ac:dyDescent="0.35">
      <c r="A12" s="6" t="s">
        <v>62</v>
      </c>
      <c r="B12" s="7">
        <v>5800</v>
      </c>
      <c r="C12" s="7">
        <v>26800</v>
      </c>
      <c r="D12" s="7">
        <v>4900</v>
      </c>
      <c r="E12" s="7">
        <v>3300</v>
      </c>
      <c r="F12" s="7">
        <v>2400</v>
      </c>
      <c r="G12" s="7">
        <v>5800</v>
      </c>
      <c r="H12" s="7">
        <v>8400</v>
      </c>
      <c r="I12" s="7">
        <v>9000</v>
      </c>
      <c r="J12" s="7">
        <v>4300</v>
      </c>
      <c r="K12" s="7">
        <v>9500</v>
      </c>
      <c r="L12" s="7">
        <v>2200</v>
      </c>
      <c r="M12" s="7">
        <v>16000</v>
      </c>
      <c r="N12" s="11">
        <f t="shared" si="0"/>
        <v>22900</v>
      </c>
    </row>
    <row r="13" spans="1:14" x14ac:dyDescent="0.35">
      <c r="A13" s="6" t="s">
        <v>63</v>
      </c>
      <c r="B13" s="7">
        <v>8000</v>
      </c>
      <c r="C13" s="7">
        <v>15100</v>
      </c>
      <c r="D13" s="7">
        <v>3700</v>
      </c>
      <c r="E13" s="7">
        <v>3300</v>
      </c>
      <c r="F13" s="7">
        <v>3500</v>
      </c>
      <c r="G13" s="7">
        <v>6800</v>
      </c>
      <c r="H13" s="7">
        <v>5900</v>
      </c>
      <c r="I13" s="7">
        <v>10500</v>
      </c>
      <c r="J13" s="7">
        <v>3000</v>
      </c>
      <c r="K13" s="7">
        <v>8500</v>
      </c>
      <c r="L13" s="7">
        <v>3700</v>
      </c>
      <c r="M13" s="7">
        <v>17600</v>
      </c>
      <c r="N13" s="11">
        <f t="shared" si="0"/>
        <v>24000</v>
      </c>
    </row>
    <row r="14" spans="1:14" x14ac:dyDescent="0.35">
      <c r="A14" s="6" t="s">
        <v>64</v>
      </c>
      <c r="B14" s="7">
        <v>1100</v>
      </c>
      <c r="C14" s="7">
        <v>1900</v>
      </c>
      <c r="D14" s="7">
        <v>1800</v>
      </c>
      <c r="E14" s="7">
        <v>1100</v>
      </c>
      <c r="F14" s="7">
        <v>0</v>
      </c>
      <c r="G14" s="7">
        <v>0</v>
      </c>
      <c r="H14" s="7">
        <v>0</v>
      </c>
      <c r="I14" s="7">
        <v>1900</v>
      </c>
      <c r="J14" s="7">
        <v>0</v>
      </c>
      <c r="K14" s="7">
        <v>1700</v>
      </c>
      <c r="L14" s="7">
        <v>0</v>
      </c>
      <c r="M14" s="7">
        <v>3300</v>
      </c>
      <c r="N14" s="11">
        <f t="shared" si="0"/>
        <v>2900</v>
      </c>
    </row>
    <row r="15" spans="1:14" x14ac:dyDescent="0.35">
      <c r="A15" s="6" t="s">
        <v>65</v>
      </c>
      <c r="B15" s="7">
        <v>1200</v>
      </c>
      <c r="C15" s="7">
        <v>2000</v>
      </c>
      <c r="D15" s="7">
        <v>0</v>
      </c>
      <c r="E15" s="7">
        <v>0</v>
      </c>
      <c r="F15" s="7">
        <v>0</v>
      </c>
      <c r="G15" s="7">
        <v>0</v>
      </c>
      <c r="H15" s="7">
        <v>1100</v>
      </c>
      <c r="I15" s="7">
        <v>700</v>
      </c>
      <c r="J15" s="7">
        <v>1100</v>
      </c>
      <c r="K15" s="7">
        <v>600</v>
      </c>
      <c r="L15" s="7">
        <v>0</v>
      </c>
      <c r="M15" s="7">
        <v>4500</v>
      </c>
      <c r="N15" s="11">
        <f t="shared" si="0"/>
        <v>1100</v>
      </c>
    </row>
    <row r="16" spans="1:14" x14ac:dyDescent="0.35">
      <c r="A16" s="6" t="s">
        <v>66</v>
      </c>
      <c r="B16" s="7">
        <v>2100</v>
      </c>
      <c r="C16" s="7">
        <v>10200</v>
      </c>
      <c r="D16" s="7">
        <v>1900</v>
      </c>
      <c r="E16" s="7">
        <v>0</v>
      </c>
      <c r="F16" s="7">
        <v>0</v>
      </c>
      <c r="G16" s="7">
        <v>0</v>
      </c>
      <c r="H16" s="7">
        <v>1700</v>
      </c>
      <c r="I16" s="7">
        <v>5900</v>
      </c>
      <c r="J16" s="7">
        <v>2600</v>
      </c>
      <c r="K16" s="7">
        <v>2500</v>
      </c>
      <c r="L16" s="7">
        <v>0</v>
      </c>
      <c r="M16" s="7">
        <v>8100</v>
      </c>
      <c r="N16" s="11">
        <f t="shared" si="0"/>
        <v>4500</v>
      </c>
    </row>
    <row r="17" spans="1:14" x14ac:dyDescent="0.35">
      <c r="A17" s="6" t="s">
        <v>67</v>
      </c>
      <c r="B17" s="7">
        <v>2100</v>
      </c>
      <c r="C17" s="7">
        <v>8900</v>
      </c>
      <c r="D17" s="7">
        <v>0</v>
      </c>
      <c r="E17" s="7">
        <v>1900</v>
      </c>
      <c r="F17" s="7">
        <v>1900</v>
      </c>
      <c r="G17" s="7">
        <v>3000</v>
      </c>
      <c r="H17" s="7">
        <v>1900</v>
      </c>
      <c r="I17" s="7">
        <v>2600</v>
      </c>
      <c r="J17" s="7">
        <v>2800</v>
      </c>
      <c r="K17" s="7">
        <v>3400</v>
      </c>
      <c r="L17" s="7">
        <v>0</v>
      </c>
      <c r="M17" s="7">
        <v>2800</v>
      </c>
      <c r="N17" s="11">
        <f t="shared" si="0"/>
        <v>9600</v>
      </c>
    </row>
    <row r="18" spans="1:14" x14ac:dyDescent="0.35">
      <c r="A18" s="6" t="s">
        <v>68</v>
      </c>
      <c r="B18" s="7">
        <v>1200</v>
      </c>
      <c r="C18" s="7">
        <v>5300</v>
      </c>
      <c r="D18" s="7">
        <v>0</v>
      </c>
      <c r="E18" s="7">
        <v>0</v>
      </c>
      <c r="F18" s="7">
        <v>0</v>
      </c>
      <c r="G18" s="7">
        <v>0</v>
      </c>
      <c r="H18" s="7">
        <v>1100</v>
      </c>
      <c r="I18" s="7">
        <v>0</v>
      </c>
      <c r="J18" s="7">
        <v>1000</v>
      </c>
      <c r="K18" s="7">
        <v>2100</v>
      </c>
      <c r="L18" s="7">
        <v>0</v>
      </c>
      <c r="M18" s="7">
        <v>1600</v>
      </c>
      <c r="N18" s="11">
        <f t="shared" si="0"/>
        <v>1000</v>
      </c>
    </row>
    <row r="19" spans="1:14" x14ac:dyDescent="0.35">
      <c r="A19" s="6" t="s">
        <v>69</v>
      </c>
      <c r="B19" s="7">
        <v>6800</v>
      </c>
      <c r="C19" s="7">
        <v>15000</v>
      </c>
      <c r="D19" s="7">
        <v>4200</v>
      </c>
      <c r="E19" s="7">
        <v>1500</v>
      </c>
      <c r="F19" s="7">
        <v>1300</v>
      </c>
      <c r="G19" s="7">
        <v>3500</v>
      </c>
      <c r="H19" s="7">
        <v>5400</v>
      </c>
      <c r="I19" s="7">
        <v>7700</v>
      </c>
      <c r="J19" s="7">
        <v>4900</v>
      </c>
      <c r="K19" s="7">
        <v>10100</v>
      </c>
      <c r="L19" s="7">
        <v>1700</v>
      </c>
      <c r="M19" s="7">
        <v>15800</v>
      </c>
      <c r="N19" s="11">
        <f t="shared" si="0"/>
        <v>17100</v>
      </c>
    </row>
    <row r="20" spans="1:14" x14ac:dyDescent="0.35">
      <c r="A20" s="6" t="s">
        <v>70</v>
      </c>
      <c r="B20" s="7">
        <v>1300</v>
      </c>
      <c r="C20" s="7">
        <v>3200</v>
      </c>
      <c r="D20" s="7">
        <v>0</v>
      </c>
      <c r="E20" s="7">
        <v>1700</v>
      </c>
      <c r="F20" s="7">
        <v>0</v>
      </c>
      <c r="G20" s="7">
        <v>0</v>
      </c>
      <c r="H20" s="7">
        <v>3600</v>
      </c>
      <c r="I20" s="7">
        <v>1400</v>
      </c>
      <c r="J20" s="7">
        <v>0</v>
      </c>
      <c r="K20" s="7">
        <v>1200</v>
      </c>
      <c r="L20" s="7">
        <v>0</v>
      </c>
      <c r="M20" s="7">
        <v>3300</v>
      </c>
      <c r="N20" s="11">
        <f t="shared" si="0"/>
        <v>1700</v>
      </c>
    </row>
    <row r="21" spans="1:14" x14ac:dyDescent="0.35">
      <c r="A21" s="6" t="s">
        <v>71</v>
      </c>
      <c r="B21" s="7">
        <v>0</v>
      </c>
      <c r="C21" s="7">
        <v>0</v>
      </c>
      <c r="D21" s="7">
        <v>0</v>
      </c>
      <c r="E21" s="7">
        <v>0</v>
      </c>
      <c r="F21" s="7">
        <v>0</v>
      </c>
      <c r="G21" s="7">
        <v>0</v>
      </c>
      <c r="H21" s="7">
        <v>0</v>
      </c>
      <c r="I21" s="7">
        <v>0</v>
      </c>
      <c r="J21" s="7">
        <v>0</v>
      </c>
      <c r="K21" s="7">
        <v>0</v>
      </c>
      <c r="L21" s="7">
        <v>0</v>
      </c>
      <c r="M21" s="7">
        <v>0</v>
      </c>
      <c r="N21" s="11">
        <f t="shared" si="0"/>
        <v>0</v>
      </c>
    </row>
    <row r="22" spans="1:14" x14ac:dyDescent="0.35">
      <c r="A22" s="6" t="s">
        <v>72</v>
      </c>
      <c r="B22" s="7">
        <v>6700</v>
      </c>
      <c r="C22" s="7">
        <v>12600</v>
      </c>
      <c r="D22" s="7">
        <v>2100</v>
      </c>
      <c r="E22" s="7">
        <v>1500</v>
      </c>
      <c r="F22" s="7">
        <v>0</v>
      </c>
      <c r="G22" s="7">
        <v>7900</v>
      </c>
      <c r="H22" s="7">
        <v>5600</v>
      </c>
      <c r="I22" s="7">
        <v>4700</v>
      </c>
      <c r="J22" s="7">
        <v>0</v>
      </c>
      <c r="K22" s="7">
        <v>7500</v>
      </c>
      <c r="L22" s="7">
        <v>0</v>
      </c>
      <c r="M22" s="7">
        <v>6500</v>
      </c>
      <c r="N22" s="11">
        <f t="shared" si="0"/>
        <v>11500</v>
      </c>
    </row>
    <row r="23" spans="1:14" x14ac:dyDescent="0.35">
      <c r="A23" s="6" t="s">
        <v>73</v>
      </c>
      <c r="B23" s="7">
        <v>0</v>
      </c>
      <c r="C23" s="7">
        <v>3900</v>
      </c>
      <c r="D23" s="7">
        <v>0</v>
      </c>
      <c r="E23" s="7">
        <v>0</v>
      </c>
      <c r="F23" s="7">
        <v>0</v>
      </c>
      <c r="G23" s="7">
        <v>0</v>
      </c>
      <c r="H23" s="7">
        <v>1000</v>
      </c>
      <c r="I23" s="7">
        <v>900</v>
      </c>
      <c r="J23" s="7">
        <v>0</v>
      </c>
      <c r="K23" s="7">
        <v>1700</v>
      </c>
      <c r="L23" s="7">
        <v>0</v>
      </c>
      <c r="M23" s="7">
        <v>4300</v>
      </c>
      <c r="N23" s="11">
        <f t="shared" si="0"/>
        <v>0</v>
      </c>
    </row>
    <row r="24" spans="1:14" x14ac:dyDescent="0.35">
      <c r="A24" s="6" t="s">
        <v>74</v>
      </c>
      <c r="B24" s="7">
        <v>2300</v>
      </c>
      <c r="C24" s="7">
        <v>5400</v>
      </c>
      <c r="D24" s="7">
        <v>0</v>
      </c>
      <c r="E24" s="7">
        <v>0</v>
      </c>
      <c r="F24" s="7">
        <v>0</v>
      </c>
      <c r="G24" s="7">
        <v>0</v>
      </c>
      <c r="H24" s="7">
        <v>2100</v>
      </c>
      <c r="I24" s="7">
        <v>1200</v>
      </c>
      <c r="J24" s="7">
        <v>0</v>
      </c>
      <c r="K24" s="7">
        <v>2800</v>
      </c>
      <c r="L24" s="7">
        <v>2800</v>
      </c>
      <c r="M24" s="7">
        <v>6300</v>
      </c>
      <c r="N24" s="11">
        <f t="shared" si="0"/>
        <v>2800</v>
      </c>
    </row>
    <row r="25" spans="1:14" x14ac:dyDescent="0.35">
      <c r="A25" s="6" t="s">
        <v>75</v>
      </c>
      <c r="B25" s="7">
        <v>1800</v>
      </c>
      <c r="C25" s="7">
        <v>15900</v>
      </c>
      <c r="D25" s="7">
        <v>0</v>
      </c>
      <c r="E25" s="7">
        <v>1000</v>
      </c>
      <c r="F25" s="7">
        <v>0</v>
      </c>
      <c r="G25" s="7">
        <v>4600</v>
      </c>
      <c r="H25" s="7">
        <v>1800</v>
      </c>
      <c r="I25" s="7">
        <v>1400</v>
      </c>
      <c r="J25" s="7">
        <v>0</v>
      </c>
      <c r="K25" s="7">
        <v>2900</v>
      </c>
      <c r="L25" s="7">
        <v>0</v>
      </c>
      <c r="M25" s="7">
        <v>7600</v>
      </c>
      <c r="N25" s="11">
        <f t="shared" si="0"/>
        <v>5600</v>
      </c>
    </row>
    <row r="26" spans="1:14" x14ac:dyDescent="0.35">
      <c r="A26" s="6" t="s">
        <v>76</v>
      </c>
      <c r="B26" s="7">
        <v>800</v>
      </c>
      <c r="C26" s="7">
        <v>3700</v>
      </c>
      <c r="D26" s="7">
        <v>0</v>
      </c>
      <c r="E26" s="7">
        <v>0</v>
      </c>
      <c r="F26" s="7">
        <v>0</v>
      </c>
      <c r="G26" s="7">
        <v>0</v>
      </c>
      <c r="H26" s="7">
        <v>1200</v>
      </c>
      <c r="I26" s="7">
        <v>0</v>
      </c>
      <c r="J26" s="7">
        <v>0</v>
      </c>
      <c r="K26" s="7">
        <v>0</v>
      </c>
      <c r="L26" s="7">
        <v>0</v>
      </c>
      <c r="M26" s="7">
        <v>4900</v>
      </c>
      <c r="N26" s="11">
        <f t="shared" si="0"/>
        <v>0</v>
      </c>
    </row>
    <row r="27" spans="1:14" x14ac:dyDescent="0.35">
      <c r="A27" s="6" t="s">
        <v>77</v>
      </c>
      <c r="B27" s="7">
        <v>9600</v>
      </c>
      <c r="C27" s="7">
        <v>24200</v>
      </c>
      <c r="D27" s="7">
        <v>4500</v>
      </c>
      <c r="E27" s="7">
        <v>1500</v>
      </c>
      <c r="F27" s="7">
        <v>4600</v>
      </c>
      <c r="G27" s="7">
        <v>3300</v>
      </c>
      <c r="H27" s="7">
        <v>7300</v>
      </c>
      <c r="I27" s="7">
        <v>5000</v>
      </c>
      <c r="J27" s="7">
        <v>4800</v>
      </c>
      <c r="K27" s="7">
        <v>11000</v>
      </c>
      <c r="L27" s="7">
        <v>1500</v>
      </c>
      <c r="M27" s="7">
        <v>17900</v>
      </c>
      <c r="N27" s="11">
        <f t="shared" si="0"/>
        <v>20200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D0909-565B-418B-9872-A402ED7789EC}">
  <dimension ref="A1:N5"/>
  <sheetViews>
    <sheetView workbookViewId="0"/>
  </sheetViews>
  <sheetFormatPr defaultRowHeight="14.5" x14ac:dyDescent="0.35"/>
  <cols>
    <col min="1" max="1" width="43.1796875" bestFit="1" customWidth="1"/>
    <col min="2" max="2" width="28" bestFit="1" customWidth="1"/>
    <col min="3" max="3" width="14.7265625" bestFit="1" customWidth="1"/>
    <col min="4" max="4" width="13.453125" bestFit="1" customWidth="1"/>
    <col min="5" max="5" width="10.90625" bestFit="1" customWidth="1"/>
    <col min="6" max="6" width="15" bestFit="1" customWidth="1"/>
    <col min="7" max="7" width="12.1796875" bestFit="1" customWidth="1"/>
    <col min="8" max="8" width="16.08984375" bestFit="1" customWidth="1"/>
    <col min="9" max="9" width="21.81640625" bestFit="1" customWidth="1"/>
    <col min="10" max="10" width="8.6328125" bestFit="1" customWidth="1"/>
    <col min="11" max="11" width="10.36328125" bestFit="1" customWidth="1"/>
    <col min="12" max="12" width="13.90625" bestFit="1" customWidth="1"/>
    <col min="13" max="13" width="10.6328125" bestFit="1" customWidth="1"/>
    <col min="14" max="14" width="16.453125" bestFit="1" customWidth="1"/>
  </cols>
  <sheetData>
    <row r="1" spans="1:14" x14ac:dyDescent="0.35">
      <c r="A1" t="s">
        <v>80</v>
      </c>
      <c r="B1" t="s">
        <v>6</v>
      </c>
      <c r="C1" t="s">
        <v>7</v>
      </c>
      <c r="D1" t="s">
        <v>8</v>
      </c>
      <c r="E1" t="s">
        <v>9</v>
      </c>
      <c r="F1" t="s">
        <v>10</v>
      </c>
      <c r="G1" t="s">
        <v>11</v>
      </c>
      <c r="H1" t="s">
        <v>12</v>
      </c>
      <c r="I1" t="s">
        <v>13</v>
      </c>
      <c r="J1" t="s">
        <v>14</v>
      </c>
      <c r="K1" t="s">
        <v>15</v>
      </c>
      <c r="L1" t="s">
        <v>79</v>
      </c>
      <c r="M1" t="s">
        <v>17</v>
      </c>
      <c r="N1" t="s">
        <v>78</v>
      </c>
    </row>
    <row r="2" spans="1:14" x14ac:dyDescent="0.35">
      <c r="A2" t="s">
        <v>81</v>
      </c>
      <c r="B2">
        <v>59500</v>
      </c>
      <c r="C2">
        <v>169100</v>
      </c>
      <c r="D2">
        <v>37300</v>
      </c>
      <c r="E2">
        <v>27900</v>
      </c>
      <c r="F2">
        <v>17900</v>
      </c>
      <c r="G2">
        <v>41100</v>
      </c>
      <c r="H2">
        <v>59200</v>
      </c>
      <c r="I2">
        <v>91500</v>
      </c>
      <c r="J2">
        <v>33200</v>
      </c>
      <c r="K2">
        <v>55000</v>
      </c>
      <c r="L2">
        <v>28900</v>
      </c>
      <c r="M2">
        <v>157600</v>
      </c>
      <c r="N2">
        <v>186300</v>
      </c>
    </row>
    <row r="3" spans="1:14" x14ac:dyDescent="0.35">
      <c r="A3" t="s">
        <v>82</v>
      </c>
      <c r="B3">
        <v>12900</v>
      </c>
      <c r="C3">
        <v>31400</v>
      </c>
      <c r="D3">
        <v>5900</v>
      </c>
      <c r="E3">
        <v>5900</v>
      </c>
      <c r="F3">
        <v>5700</v>
      </c>
      <c r="G3">
        <v>11100</v>
      </c>
      <c r="H3">
        <v>16800</v>
      </c>
      <c r="I3">
        <v>24600</v>
      </c>
      <c r="J3">
        <v>11300</v>
      </c>
      <c r="K3">
        <v>20600</v>
      </c>
      <c r="L3">
        <v>6000</v>
      </c>
      <c r="M3">
        <v>39000</v>
      </c>
      <c r="N3">
        <v>45900</v>
      </c>
    </row>
    <row r="4" spans="1:14" x14ac:dyDescent="0.35">
      <c r="A4" t="s">
        <v>83</v>
      </c>
      <c r="B4">
        <v>12200</v>
      </c>
      <c r="C4">
        <v>32200</v>
      </c>
      <c r="D4">
        <v>6400</v>
      </c>
      <c r="E4">
        <v>1200</v>
      </c>
      <c r="F4">
        <v>7000</v>
      </c>
      <c r="G4">
        <v>10800</v>
      </c>
      <c r="H4">
        <v>14700</v>
      </c>
      <c r="I4">
        <v>18300</v>
      </c>
      <c r="J4">
        <v>4200</v>
      </c>
      <c r="K4">
        <v>19500</v>
      </c>
      <c r="L4">
        <v>3300</v>
      </c>
      <c r="M4">
        <v>30300</v>
      </c>
      <c r="N4">
        <v>32900</v>
      </c>
    </row>
    <row r="5" spans="1:14" x14ac:dyDescent="0.35">
      <c r="A5" t="s">
        <v>84</v>
      </c>
      <c r="B5">
        <v>12700</v>
      </c>
      <c r="C5">
        <v>25700</v>
      </c>
      <c r="D5">
        <v>4300</v>
      </c>
      <c r="E5">
        <v>1500</v>
      </c>
      <c r="F5">
        <v>6800</v>
      </c>
      <c r="G5">
        <v>5600</v>
      </c>
      <c r="H5">
        <v>14000</v>
      </c>
      <c r="I5">
        <v>19600</v>
      </c>
      <c r="J5">
        <v>7200</v>
      </c>
      <c r="K5">
        <v>19800</v>
      </c>
      <c r="L5">
        <v>4700</v>
      </c>
      <c r="M5">
        <v>38200</v>
      </c>
      <c r="N5">
        <v>30100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612E4-79F6-4CCA-AFAE-ABD8797049DD}">
  <dimension ref="A1:N27"/>
  <sheetViews>
    <sheetView workbookViewId="0"/>
  </sheetViews>
  <sheetFormatPr defaultRowHeight="14.5" x14ac:dyDescent="0.35"/>
  <cols>
    <col min="1" max="1" width="28.1796875" customWidth="1"/>
    <col min="2" max="2" width="29" customWidth="1"/>
    <col min="3" max="3" width="15.1796875" customWidth="1"/>
    <col min="4" max="4" width="13" customWidth="1"/>
    <col min="5" max="5" width="10.81640625" customWidth="1"/>
    <col min="6" max="6" width="15.54296875" customWidth="1"/>
    <col min="7" max="7" width="12.26953125" customWidth="1"/>
    <col min="8" max="8" width="16.36328125" customWidth="1"/>
    <col min="9" max="9" width="22.1796875" customWidth="1"/>
    <col min="10" max="10" width="8.6328125" customWidth="1"/>
    <col min="11" max="11" width="10.1796875" customWidth="1"/>
    <col min="12" max="12" width="13.26953125" customWidth="1"/>
    <col min="13" max="13" width="10.36328125" customWidth="1"/>
    <col min="14" max="14" width="16.54296875" customWidth="1"/>
  </cols>
  <sheetData>
    <row r="1" spans="1:14" ht="14.5" customHeight="1" x14ac:dyDescent="0.35">
      <c r="A1" s="12" t="s">
        <v>51</v>
      </c>
      <c r="B1" s="15" t="s">
        <v>6</v>
      </c>
      <c r="C1" s="15" t="s">
        <v>7</v>
      </c>
      <c r="D1" s="15" t="s">
        <v>8</v>
      </c>
      <c r="E1" s="15" t="s">
        <v>9</v>
      </c>
      <c r="F1" s="15" t="s">
        <v>10</v>
      </c>
      <c r="G1" s="15" t="s">
        <v>11</v>
      </c>
      <c r="H1" s="15" t="s">
        <v>12</v>
      </c>
      <c r="I1" s="15" t="s">
        <v>13</v>
      </c>
      <c r="J1" s="15" t="s">
        <v>14</v>
      </c>
      <c r="K1" s="15" t="s">
        <v>15</v>
      </c>
      <c r="L1" s="15" t="s">
        <v>16</v>
      </c>
      <c r="M1" s="15" t="s">
        <v>17</v>
      </c>
      <c r="N1" s="15" t="s">
        <v>78</v>
      </c>
    </row>
    <row r="2" spans="1:14" x14ac:dyDescent="0.35">
      <c r="A2" s="13" t="s">
        <v>52</v>
      </c>
      <c r="B2" s="14">
        <v>7400</v>
      </c>
      <c r="C2" s="14">
        <v>17500</v>
      </c>
      <c r="D2" s="14">
        <v>7900</v>
      </c>
      <c r="E2" s="14">
        <v>7500</v>
      </c>
      <c r="F2" s="14">
        <v>3200</v>
      </c>
      <c r="G2" s="14">
        <v>6600</v>
      </c>
      <c r="H2" s="14">
        <v>8200</v>
      </c>
      <c r="I2" s="14">
        <v>14000</v>
      </c>
      <c r="J2" s="14">
        <v>5700</v>
      </c>
      <c r="K2" s="14">
        <v>9100</v>
      </c>
      <c r="L2" s="14">
        <v>6800</v>
      </c>
      <c r="M2" s="14">
        <v>34400</v>
      </c>
      <c r="N2" s="11">
        <f>SUM(D2,E2,F2,G2,J2,L2)</f>
        <v>37700</v>
      </c>
    </row>
    <row r="3" spans="1:14" x14ac:dyDescent="0.35">
      <c r="A3" s="13" t="s">
        <v>53</v>
      </c>
      <c r="B3" s="14">
        <v>4200</v>
      </c>
      <c r="C3" s="14">
        <v>6200</v>
      </c>
      <c r="D3" s="14">
        <v>1500</v>
      </c>
      <c r="E3" s="14">
        <v>3300</v>
      </c>
      <c r="F3" s="14">
        <v>0</v>
      </c>
      <c r="G3" s="14">
        <v>3100</v>
      </c>
      <c r="H3" s="14">
        <v>4200</v>
      </c>
      <c r="I3" s="14">
        <v>3000</v>
      </c>
      <c r="J3" s="14">
        <v>0</v>
      </c>
      <c r="K3" s="14">
        <v>3200</v>
      </c>
      <c r="L3" s="14">
        <v>3700</v>
      </c>
      <c r="M3" s="14">
        <v>10400</v>
      </c>
      <c r="N3" s="11">
        <f t="shared" ref="N3:N27" si="0">SUM(D3,E3,F3,G3,J3,L3)</f>
        <v>11600</v>
      </c>
    </row>
    <row r="4" spans="1:14" x14ac:dyDescent="0.35">
      <c r="A4" s="13" t="s">
        <v>54</v>
      </c>
      <c r="B4" s="14">
        <v>10300</v>
      </c>
      <c r="C4" s="14">
        <v>39000</v>
      </c>
      <c r="D4" s="14">
        <v>4800</v>
      </c>
      <c r="E4" s="14">
        <v>2500</v>
      </c>
      <c r="F4" s="14">
        <v>5300</v>
      </c>
      <c r="G4" s="14">
        <v>6700</v>
      </c>
      <c r="H4" s="14">
        <v>9300</v>
      </c>
      <c r="I4" s="14">
        <v>17100</v>
      </c>
      <c r="J4" s="14">
        <v>3400</v>
      </c>
      <c r="K4" s="14">
        <v>11100</v>
      </c>
      <c r="L4" s="14">
        <v>3800</v>
      </c>
      <c r="M4" s="14">
        <v>24800</v>
      </c>
      <c r="N4" s="11">
        <f t="shared" si="0"/>
        <v>26500</v>
      </c>
    </row>
    <row r="5" spans="1:14" x14ac:dyDescent="0.35">
      <c r="A5" s="13" t="s">
        <v>55</v>
      </c>
      <c r="B5" s="14">
        <v>5000</v>
      </c>
      <c r="C5" s="14">
        <v>16300</v>
      </c>
      <c r="D5" s="14">
        <v>2100</v>
      </c>
      <c r="E5" s="14">
        <v>2000</v>
      </c>
      <c r="F5" s="14">
        <v>2600</v>
      </c>
      <c r="G5" s="14">
        <v>4700</v>
      </c>
      <c r="H5" s="14">
        <v>5900</v>
      </c>
      <c r="I5" s="14">
        <v>5700</v>
      </c>
      <c r="J5" s="14">
        <v>5500</v>
      </c>
      <c r="K5" s="14">
        <v>2800</v>
      </c>
      <c r="L5" s="14">
        <v>2900</v>
      </c>
      <c r="M5" s="14">
        <v>10700</v>
      </c>
      <c r="N5" s="11">
        <f t="shared" si="0"/>
        <v>19800</v>
      </c>
    </row>
    <row r="6" spans="1:14" x14ac:dyDescent="0.35">
      <c r="A6" s="13" t="s">
        <v>56</v>
      </c>
      <c r="B6" s="14">
        <v>8500</v>
      </c>
      <c r="C6" s="14">
        <v>17600</v>
      </c>
      <c r="D6" s="14">
        <v>6700</v>
      </c>
      <c r="E6" s="14">
        <v>1600</v>
      </c>
      <c r="F6" s="14">
        <v>0</v>
      </c>
      <c r="G6" s="14">
        <v>2600</v>
      </c>
      <c r="H6" s="14">
        <v>5600</v>
      </c>
      <c r="I6" s="14">
        <v>9700</v>
      </c>
      <c r="J6" s="14">
        <v>3500</v>
      </c>
      <c r="K6" s="14">
        <v>3900</v>
      </c>
      <c r="L6" s="14">
        <v>0</v>
      </c>
      <c r="M6" s="14">
        <v>16000</v>
      </c>
      <c r="N6" s="11">
        <f t="shared" si="0"/>
        <v>14400</v>
      </c>
    </row>
    <row r="7" spans="1:14" x14ac:dyDescent="0.35">
      <c r="A7" s="13" t="s">
        <v>57</v>
      </c>
      <c r="B7" s="14">
        <v>12100</v>
      </c>
      <c r="C7" s="14">
        <v>26500</v>
      </c>
      <c r="D7" s="14">
        <v>8400</v>
      </c>
      <c r="E7" s="14">
        <v>7100</v>
      </c>
      <c r="F7" s="14">
        <v>2100</v>
      </c>
      <c r="G7" s="14">
        <v>5900</v>
      </c>
      <c r="H7" s="14">
        <v>7400</v>
      </c>
      <c r="I7" s="14">
        <v>13900</v>
      </c>
      <c r="J7" s="14">
        <v>5700</v>
      </c>
      <c r="K7" s="14">
        <v>8000</v>
      </c>
      <c r="L7" s="14">
        <v>6200</v>
      </c>
      <c r="M7" s="14">
        <v>24300</v>
      </c>
      <c r="N7" s="11">
        <f t="shared" si="0"/>
        <v>35400</v>
      </c>
    </row>
    <row r="8" spans="1:14" x14ac:dyDescent="0.35">
      <c r="A8" s="13" t="s">
        <v>58</v>
      </c>
      <c r="B8" s="14">
        <v>1100</v>
      </c>
      <c r="C8" s="14">
        <v>5800</v>
      </c>
      <c r="D8" s="14">
        <v>0</v>
      </c>
      <c r="E8" s="14">
        <v>1300</v>
      </c>
      <c r="F8" s="14">
        <v>0</v>
      </c>
      <c r="G8" s="14">
        <v>0</v>
      </c>
      <c r="H8" s="14">
        <v>1700</v>
      </c>
      <c r="I8" s="14">
        <v>5400</v>
      </c>
      <c r="J8" s="14">
        <v>0</v>
      </c>
      <c r="K8" s="14">
        <v>2300</v>
      </c>
      <c r="L8" s="14">
        <v>0</v>
      </c>
      <c r="M8" s="14">
        <v>3400</v>
      </c>
      <c r="N8" s="11">
        <f t="shared" si="0"/>
        <v>1300</v>
      </c>
    </row>
    <row r="9" spans="1:14" x14ac:dyDescent="0.35">
      <c r="A9" s="13" t="s">
        <v>59</v>
      </c>
      <c r="B9" s="14">
        <v>1700</v>
      </c>
      <c r="C9" s="14">
        <v>6600</v>
      </c>
      <c r="D9" s="14">
        <v>1600</v>
      </c>
      <c r="E9" s="14">
        <v>0</v>
      </c>
      <c r="F9" s="14">
        <v>0</v>
      </c>
      <c r="G9" s="14">
        <v>2400</v>
      </c>
      <c r="H9" s="14">
        <v>3100</v>
      </c>
      <c r="I9" s="14">
        <v>3200</v>
      </c>
      <c r="J9" s="14">
        <v>1700</v>
      </c>
      <c r="K9" s="14">
        <v>1100</v>
      </c>
      <c r="L9" s="14">
        <v>3100</v>
      </c>
      <c r="M9" s="14">
        <v>4700</v>
      </c>
      <c r="N9" s="11">
        <f t="shared" si="0"/>
        <v>8800</v>
      </c>
    </row>
    <row r="10" spans="1:14" x14ac:dyDescent="0.35">
      <c r="A10" s="13" t="s">
        <v>60</v>
      </c>
      <c r="B10" s="14">
        <v>0</v>
      </c>
      <c r="C10" s="14">
        <v>1100</v>
      </c>
      <c r="D10" s="14">
        <v>0</v>
      </c>
      <c r="E10" s="14">
        <v>0</v>
      </c>
      <c r="F10" s="14">
        <v>0</v>
      </c>
      <c r="G10" s="14">
        <v>2700</v>
      </c>
      <c r="H10" s="14">
        <v>1800</v>
      </c>
      <c r="I10" s="14">
        <v>2400</v>
      </c>
      <c r="J10" s="14">
        <v>0</v>
      </c>
      <c r="K10" s="14">
        <v>1300</v>
      </c>
      <c r="L10" s="14">
        <v>0</v>
      </c>
      <c r="M10" s="14">
        <v>3100</v>
      </c>
      <c r="N10" s="11">
        <f t="shared" si="0"/>
        <v>2700</v>
      </c>
    </row>
    <row r="11" spans="1:14" x14ac:dyDescent="0.35">
      <c r="A11" s="13" t="s">
        <v>61</v>
      </c>
      <c r="B11" s="14">
        <v>3500</v>
      </c>
      <c r="C11" s="14">
        <v>13300</v>
      </c>
      <c r="D11" s="14">
        <v>0</v>
      </c>
      <c r="E11" s="14">
        <v>0</v>
      </c>
      <c r="F11" s="14">
        <v>1800</v>
      </c>
      <c r="G11" s="14">
        <v>1700</v>
      </c>
      <c r="H11" s="14">
        <v>2400</v>
      </c>
      <c r="I11" s="14">
        <v>3500</v>
      </c>
      <c r="J11" s="14">
        <v>1900</v>
      </c>
      <c r="K11" s="14">
        <v>1700</v>
      </c>
      <c r="L11" s="14">
        <v>0</v>
      </c>
      <c r="M11" s="14">
        <v>7000</v>
      </c>
      <c r="N11" s="11">
        <f t="shared" si="0"/>
        <v>5400</v>
      </c>
    </row>
    <row r="12" spans="1:14" x14ac:dyDescent="0.35">
      <c r="A12" s="13" t="s">
        <v>62</v>
      </c>
      <c r="B12" s="14">
        <v>5700</v>
      </c>
      <c r="C12" s="14">
        <v>19200</v>
      </c>
      <c r="D12" s="14">
        <v>4300</v>
      </c>
      <c r="E12" s="14">
        <v>2600</v>
      </c>
      <c r="F12" s="14">
        <v>2900</v>
      </c>
      <c r="G12" s="14">
        <v>4700</v>
      </c>
      <c r="H12" s="14">
        <v>9600</v>
      </c>
      <c r="I12" s="14">
        <v>13600</v>
      </c>
      <c r="J12" s="14">
        <v>5800</v>
      </c>
      <c r="K12" s="14">
        <v>10500</v>
      </c>
      <c r="L12" s="14">
        <v>2400</v>
      </c>
      <c r="M12" s="14">
        <v>18800</v>
      </c>
      <c r="N12" s="11">
        <f t="shared" si="0"/>
        <v>22700</v>
      </c>
    </row>
    <row r="13" spans="1:14" x14ac:dyDescent="0.35">
      <c r="A13" s="13" t="s">
        <v>63</v>
      </c>
      <c r="B13" s="14">
        <v>6100</v>
      </c>
      <c r="C13" s="14">
        <v>12400</v>
      </c>
      <c r="D13" s="14">
        <v>3400</v>
      </c>
      <c r="E13" s="14">
        <v>2900</v>
      </c>
      <c r="F13" s="14">
        <v>3300</v>
      </c>
      <c r="G13" s="14">
        <v>7600</v>
      </c>
      <c r="H13" s="14">
        <v>7600</v>
      </c>
      <c r="I13" s="14">
        <v>13100</v>
      </c>
      <c r="J13" s="14">
        <v>4400</v>
      </c>
      <c r="K13" s="14">
        <v>8100</v>
      </c>
      <c r="L13" s="14">
        <v>4300</v>
      </c>
      <c r="M13" s="14">
        <v>18700</v>
      </c>
      <c r="N13" s="11">
        <f t="shared" si="0"/>
        <v>25900</v>
      </c>
    </row>
    <row r="14" spans="1:14" x14ac:dyDescent="0.35">
      <c r="A14" s="13" t="s">
        <v>64</v>
      </c>
      <c r="B14" s="14">
        <v>1500</v>
      </c>
      <c r="C14" s="14">
        <v>2700</v>
      </c>
      <c r="D14" s="14">
        <v>0</v>
      </c>
      <c r="E14" s="14">
        <v>1100</v>
      </c>
      <c r="F14" s="14">
        <v>0</v>
      </c>
      <c r="G14" s="14">
        <v>0</v>
      </c>
      <c r="H14" s="14">
        <v>0</v>
      </c>
      <c r="I14" s="14">
        <v>1300</v>
      </c>
      <c r="J14" s="14">
        <v>0</v>
      </c>
      <c r="K14" s="14">
        <v>1700</v>
      </c>
      <c r="L14" s="14">
        <v>0</v>
      </c>
      <c r="M14" s="14">
        <v>3300</v>
      </c>
      <c r="N14" s="11">
        <f t="shared" si="0"/>
        <v>1100</v>
      </c>
    </row>
    <row r="15" spans="1:14" x14ac:dyDescent="0.35">
      <c r="A15" s="13" t="s">
        <v>65</v>
      </c>
      <c r="B15" s="14">
        <v>1200</v>
      </c>
      <c r="C15" s="14">
        <v>1300</v>
      </c>
      <c r="D15" s="14">
        <v>0</v>
      </c>
      <c r="E15" s="14">
        <v>0</v>
      </c>
      <c r="F15" s="14">
        <v>0</v>
      </c>
      <c r="G15" s="14">
        <v>0</v>
      </c>
      <c r="H15" s="14">
        <v>1100</v>
      </c>
      <c r="I15" s="14">
        <v>1000</v>
      </c>
      <c r="J15" s="14">
        <v>0</v>
      </c>
      <c r="K15" s="14">
        <v>800</v>
      </c>
      <c r="L15" s="14">
        <v>0</v>
      </c>
      <c r="M15" s="14">
        <v>4500</v>
      </c>
      <c r="N15" s="11">
        <f t="shared" si="0"/>
        <v>0</v>
      </c>
    </row>
    <row r="16" spans="1:14" x14ac:dyDescent="0.35">
      <c r="A16" s="13" t="s">
        <v>66</v>
      </c>
      <c r="B16" s="14">
        <v>1400</v>
      </c>
      <c r="C16" s="14">
        <v>4900</v>
      </c>
      <c r="D16" s="14">
        <v>2500</v>
      </c>
      <c r="E16" s="14">
        <v>0</v>
      </c>
      <c r="F16" s="14">
        <v>0</v>
      </c>
      <c r="G16" s="14">
        <v>1700</v>
      </c>
      <c r="H16" s="14">
        <v>4300</v>
      </c>
      <c r="I16" s="14">
        <v>5200</v>
      </c>
      <c r="J16" s="14">
        <v>2000</v>
      </c>
      <c r="K16" s="14">
        <v>3100</v>
      </c>
      <c r="L16" s="14">
        <v>1700</v>
      </c>
      <c r="M16" s="14">
        <v>7100</v>
      </c>
      <c r="N16" s="11">
        <f t="shared" si="0"/>
        <v>7900</v>
      </c>
    </row>
    <row r="17" spans="1:14" x14ac:dyDescent="0.35">
      <c r="A17" s="13" t="s">
        <v>67</v>
      </c>
      <c r="B17" s="14">
        <v>2000</v>
      </c>
      <c r="C17" s="14">
        <v>4600</v>
      </c>
      <c r="D17" s="14">
        <v>0</v>
      </c>
      <c r="E17" s="14">
        <v>1900</v>
      </c>
      <c r="F17" s="14">
        <v>2400</v>
      </c>
      <c r="G17" s="14">
        <v>1800</v>
      </c>
      <c r="H17" s="14">
        <v>2700</v>
      </c>
      <c r="I17" s="14">
        <v>4000</v>
      </c>
      <c r="J17" s="14">
        <v>3400</v>
      </c>
      <c r="K17" s="14">
        <v>3700</v>
      </c>
      <c r="L17" s="14">
        <v>0</v>
      </c>
      <c r="M17" s="14">
        <v>3200</v>
      </c>
      <c r="N17" s="11">
        <f t="shared" si="0"/>
        <v>9500</v>
      </c>
    </row>
    <row r="18" spans="1:14" x14ac:dyDescent="0.35">
      <c r="A18" s="13" t="s">
        <v>68</v>
      </c>
      <c r="B18" s="14">
        <v>700</v>
      </c>
      <c r="C18" s="14">
        <v>5500</v>
      </c>
      <c r="D18" s="14">
        <v>0</v>
      </c>
      <c r="E18" s="14">
        <v>0</v>
      </c>
      <c r="F18" s="14">
        <v>0</v>
      </c>
      <c r="G18" s="14">
        <v>0</v>
      </c>
      <c r="H18" s="14">
        <v>1100</v>
      </c>
      <c r="I18" s="14">
        <v>0</v>
      </c>
      <c r="J18" s="14">
        <v>1500</v>
      </c>
      <c r="K18" s="14">
        <v>3200</v>
      </c>
      <c r="L18" s="14">
        <v>0</v>
      </c>
      <c r="M18" s="14">
        <v>2200</v>
      </c>
      <c r="N18" s="11">
        <f t="shared" si="0"/>
        <v>1500</v>
      </c>
    </row>
    <row r="19" spans="1:14" x14ac:dyDescent="0.35">
      <c r="A19" s="13" t="s">
        <v>69</v>
      </c>
      <c r="B19" s="14">
        <v>3700</v>
      </c>
      <c r="C19" s="14">
        <v>15700</v>
      </c>
      <c r="D19" s="14">
        <v>3000</v>
      </c>
      <c r="E19" s="14">
        <v>1200</v>
      </c>
      <c r="F19" s="14">
        <v>2300</v>
      </c>
      <c r="G19" s="14">
        <v>3400</v>
      </c>
      <c r="H19" s="14">
        <v>5900</v>
      </c>
      <c r="I19" s="14">
        <v>7500</v>
      </c>
      <c r="J19" s="14">
        <v>2500</v>
      </c>
      <c r="K19" s="14">
        <v>8900</v>
      </c>
      <c r="L19" s="14">
        <v>3300</v>
      </c>
      <c r="M19" s="14">
        <v>17400</v>
      </c>
      <c r="N19" s="11">
        <f t="shared" si="0"/>
        <v>15700</v>
      </c>
    </row>
    <row r="20" spans="1:14" x14ac:dyDescent="0.35">
      <c r="A20" s="13" t="s">
        <v>70</v>
      </c>
      <c r="B20" s="14">
        <v>2200</v>
      </c>
      <c r="C20" s="14">
        <v>4100</v>
      </c>
      <c r="D20" s="14">
        <v>0</v>
      </c>
      <c r="E20" s="14">
        <v>0</v>
      </c>
      <c r="F20" s="14">
        <v>2700</v>
      </c>
      <c r="G20" s="14">
        <v>0</v>
      </c>
      <c r="H20" s="14">
        <v>2500</v>
      </c>
      <c r="I20" s="14">
        <v>1400</v>
      </c>
      <c r="J20" s="14">
        <v>0</v>
      </c>
      <c r="K20" s="14">
        <v>1200</v>
      </c>
      <c r="L20" s="14">
        <v>0</v>
      </c>
      <c r="M20" s="14">
        <v>2700</v>
      </c>
      <c r="N20" s="11">
        <f t="shared" si="0"/>
        <v>2700</v>
      </c>
    </row>
    <row r="21" spans="1:14" x14ac:dyDescent="0.35">
      <c r="A21" s="13" t="s">
        <v>71</v>
      </c>
      <c r="B21" s="14">
        <v>0</v>
      </c>
      <c r="C21" s="14">
        <v>0</v>
      </c>
      <c r="D21" s="14">
        <v>0</v>
      </c>
      <c r="E21" s="14">
        <v>0</v>
      </c>
      <c r="F21" s="14">
        <v>0</v>
      </c>
      <c r="G21" s="14">
        <v>0</v>
      </c>
      <c r="H21" s="14">
        <v>0</v>
      </c>
      <c r="I21" s="14">
        <v>0</v>
      </c>
      <c r="J21" s="14">
        <v>0</v>
      </c>
      <c r="K21" s="14">
        <v>0</v>
      </c>
      <c r="L21" s="14">
        <v>0</v>
      </c>
      <c r="M21" s="14">
        <v>0</v>
      </c>
      <c r="N21" s="11">
        <f t="shared" si="0"/>
        <v>0</v>
      </c>
    </row>
    <row r="22" spans="1:14" x14ac:dyDescent="0.35">
      <c r="A22" s="13" t="s">
        <v>72</v>
      </c>
      <c r="B22" s="14">
        <v>6300</v>
      </c>
      <c r="C22" s="14">
        <v>9700</v>
      </c>
      <c r="D22" s="14">
        <v>3400</v>
      </c>
      <c r="E22" s="14">
        <v>0</v>
      </c>
      <c r="F22" s="14">
        <v>2000</v>
      </c>
      <c r="G22" s="14">
        <v>7400</v>
      </c>
      <c r="H22" s="14">
        <v>5000</v>
      </c>
      <c r="I22" s="14">
        <v>7900</v>
      </c>
      <c r="J22" s="14">
        <v>0</v>
      </c>
      <c r="K22" s="14">
        <v>6600</v>
      </c>
      <c r="L22" s="14">
        <v>0</v>
      </c>
      <c r="M22" s="14">
        <v>7100</v>
      </c>
      <c r="N22" s="11">
        <f t="shared" si="0"/>
        <v>12800</v>
      </c>
    </row>
    <row r="23" spans="1:14" x14ac:dyDescent="0.35">
      <c r="A23" s="13" t="s">
        <v>73</v>
      </c>
      <c r="B23" s="14">
        <v>0</v>
      </c>
      <c r="C23" s="14">
        <v>2700</v>
      </c>
      <c r="D23" s="14">
        <v>0</v>
      </c>
      <c r="E23" s="14">
        <v>0</v>
      </c>
      <c r="F23" s="14">
        <v>0</v>
      </c>
      <c r="G23" s="14">
        <v>0</v>
      </c>
      <c r="H23" s="14">
        <v>1300</v>
      </c>
      <c r="I23" s="14">
        <v>1500</v>
      </c>
      <c r="J23" s="14">
        <v>1700</v>
      </c>
      <c r="K23" s="14">
        <v>2800</v>
      </c>
      <c r="L23" s="14">
        <v>0</v>
      </c>
      <c r="M23" s="14">
        <v>3100</v>
      </c>
      <c r="N23" s="11">
        <f t="shared" si="0"/>
        <v>1700</v>
      </c>
    </row>
    <row r="24" spans="1:14" x14ac:dyDescent="0.35">
      <c r="A24" s="13" t="s">
        <v>74</v>
      </c>
      <c r="B24" s="14">
        <v>1600</v>
      </c>
      <c r="C24" s="14">
        <v>2600</v>
      </c>
      <c r="D24" s="14">
        <v>0</v>
      </c>
      <c r="E24" s="14">
        <v>1500</v>
      </c>
      <c r="F24" s="14">
        <v>0</v>
      </c>
      <c r="G24" s="14">
        <v>0</v>
      </c>
      <c r="H24" s="14">
        <v>2900</v>
      </c>
      <c r="I24" s="14">
        <v>900</v>
      </c>
      <c r="J24" s="14">
        <v>1500</v>
      </c>
      <c r="K24" s="14">
        <v>2400</v>
      </c>
      <c r="L24" s="14">
        <v>0</v>
      </c>
      <c r="M24" s="14">
        <v>7300</v>
      </c>
      <c r="N24" s="11">
        <f t="shared" si="0"/>
        <v>3000</v>
      </c>
    </row>
    <row r="25" spans="1:14" x14ac:dyDescent="0.35">
      <c r="A25" s="13" t="s">
        <v>75</v>
      </c>
      <c r="B25" s="14">
        <v>1900</v>
      </c>
      <c r="C25" s="14">
        <v>7700</v>
      </c>
      <c r="D25" s="14">
        <v>0</v>
      </c>
      <c r="E25" s="14">
        <v>0</v>
      </c>
      <c r="F25" s="14">
        <v>2200</v>
      </c>
      <c r="G25" s="14">
        <v>2200</v>
      </c>
      <c r="H25" s="14">
        <v>2200</v>
      </c>
      <c r="I25" s="14">
        <v>7800</v>
      </c>
      <c r="J25" s="14">
        <v>0</v>
      </c>
      <c r="K25" s="14">
        <v>4400</v>
      </c>
      <c r="L25" s="14">
        <v>3300</v>
      </c>
      <c r="M25" s="14">
        <v>8400</v>
      </c>
      <c r="N25" s="11">
        <f t="shared" si="0"/>
        <v>7700</v>
      </c>
    </row>
    <row r="26" spans="1:14" x14ac:dyDescent="0.35">
      <c r="A26" s="13" t="s">
        <v>76</v>
      </c>
      <c r="B26" s="14">
        <v>800</v>
      </c>
      <c r="C26" s="14">
        <v>0</v>
      </c>
      <c r="D26" s="14">
        <v>0</v>
      </c>
      <c r="E26" s="14">
        <v>0</v>
      </c>
      <c r="F26" s="14">
        <v>0</v>
      </c>
      <c r="G26" s="14">
        <v>0</v>
      </c>
      <c r="H26" s="14">
        <v>1200</v>
      </c>
      <c r="I26" s="14">
        <v>1700</v>
      </c>
      <c r="J26" s="14">
        <v>0</v>
      </c>
      <c r="K26" s="14">
        <v>0</v>
      </c>
      <c r="L26" s="14">
        <v>1400</v>
      </c>
      <c r="M26" s="14">
        <v>4500</v>
      </c>
      <c r="N26" s="11">
        <f t="shared" si="0"/>
        <v>1400</v>
      </c>
    </row>
    <row r="27" spans="1:14" x14ac:dyDescent="0.35">
      <c r="A27" s="13" t="s">
        <v>77</v>
      </c>
      <c r="B27" s="14">
        <v>8400</v>
      </c>
      <c r="C27" s="14">
        <v>15400</v>
      </c>
      <c r="D27" s="14">
        <v>4300</v>
      </c>
      <c r="E27" s="14">
        <v>0</v>
      </c>
      <c r="F27" s="14">
        <v>4600</v>
      </c>
      <c r="G27" s="14">
        <v>3400</v>
      </c>
      <c r="H27" s="14">
        <v>7700</v>
      </c>
      <c r="I27" s="14">
        <v>9200</v>
      </c>
      <c r="J27" s="14">
        <v>5700</v>
      </c>
      <c r="K27" s="14">
        <v>13000</v>
      </c>
      <c r="L27" s="14">
        <v>0</v>
      </c>
      <c r="M27" s="14">
        <v>18000</v>
      </c>
      <c r="N27" s="11">
        <f t="shared" si="0"/>
        <v>18000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7D55B-F458-4336-B342-ED66AD408895}">
  <dimension ref="A1:AK34"/>
  <sheetViews>
    <sheetView workbookViewId="0">
      <selection activeCell="G20" sqref="G20"/>
    </sheetView>
  </sheetViews>
  <sheetFormatPr defaultRowHeight="14.5" x14ac:dyDescent="0.35"/>
  <cols>
    <col min="1" max="1" width="8.7265625" customWidth="1"/>
  </cols>
  <sheetData>
    <row r="1" spans="1:37" ht="15.5" x14ac:dyDescent="0.35">
      <c r="A1" s="19" t="s">
        <v>86</v>
      </c>
      <c r="B1" s="18"/>
      <c r="C1" s="18"/>
      <c r="D1" s="18"/>
      <c r="E1" s="18"/>
      <c r="F1" s="18"/>
      <c r="G1" s="18"/>
      <c r="H1" s="18"/>
      <c r="I1" s="18"/>
      <c r="J1" s="18"/>
      <c r="K1" s="18"/>
      <c r="L1" s="18"/>
      <c r="M1" s="18"/>
      <c r="N1" s="18"/>
      <c r="O1" s="18"/>
      <c r="P1" s="18"/>
      <c r="Q1" s="18"/>
      <c r="R1" s="18"/>
      <c r="S1" s="18"/>
      <c r="T1" s="18"/>
      <c r="U1" s="18"/>
      <c r="V1" s="18"/>
      <c r="W1" s="18"/>
      <c r="X1" s="18"/>
      <c r="Y1" s="18"/>
      <c r="Z1" s="18"/>
      <c r="AA1" s="18"/>
      <c r="AB1" s="18"/>
      <c r="AC1" s="18"/>
      <c r="AD1" s="18"/>
      <c r="AE1" s="18"/>
      <c r="AF1" s="18"/>
      <c r="AG1" s="18"/>
      <c r="AH1" s="18"/>
      <c r="AI1" s="18"/>
      <c r="AJ1" s="18"/>
      <c r="AK1" s="18"/>
    </row>
    <row r="2" spans="1:37" x14ac:dyDescent="0.35">
      <c r="A2" s="20" t="s">
        <v>1</v>
      </c>
      <c r="B2" s="18"/>
      <c r="C2" s="18"/>
      <c r="D2" s="18"/>
      <c r="E2" s="18"/>
      <c r="F2" s="18"/>
      <c r="G2" s="18"/>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row>
    <row r="4" spans="1:37" x14ac:dyDescent="0.35">
      <c r="A4" s="21" t="s">
        <v>2</v>
      </c>
      <c r="B4" s="21" t="s">
        <v>3</v>
      </c>
      <c r="C4" s="18"/>
      <c r="D4" s="18"/>
      <c r="E4" s="18"/>
      <c r="F4" s="18"/>
      <c r="G4" s="18"/>
      <c r="H4" s="18"/>
      <c r="I4" s="18"/>
      <c r="J4" s="18"/>
      <c r="K4" s="18"/>
      <c r="L4" s="18"/>
      <c r="M4" s="18"/>
      <c r="N4" s="18"/>
      <c r="O4" s="18"/>
      <c r="P4" s="18"/>
      <c r="Q4" s="18"/>
      <c r="R4" s="18"/>
      <c r="S4" s="18"/>
      <c r="T4" s="18"/>
      <c r="U4" s="18"/>
      <c r="V4" s="18"/>
      <c r="W4" s="18"/>
      <c r="X4" s="18"/>
      <c r="Y4" s="18"/>
      <c r="Z4" s="18"/>
      <c r="AA4" s="18"/>
      <c r="AB4" s="18"/>
      <c r="AC4" s="18"/>
      <c r="AD4" s="18"/>
      <c r="AE4" s="18"/>
      <c r="AF4" s="18"/>
      <c r="AG4" s="18"/>
      <c r="AH4" s="18"/>
      <c r="AI4" s="18"/>
      <c r="AJ4" s="18"/>
      <c r="AK4" s="18"/>
    </row>
    <row r="5" spans="1:37" x14ac:dyDescent="0.35">
      <c r="A5" s="21" t="s">
        <v>4</v>
      </c>
      <c r="B5" s="21" t="s">
        <v>5</v>
      </c>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row>
    <row r="7" spans="1:37" x14ac:dyDescent="0.35">
      <c r="A7" s="23" t="s">
        <v>18</v>
      </c>
      <c r="B7" s="26" t="s">
        <v>6</v>
      </c>
      <c r="C7" s="27"/>
      <c r="D7" s="27"/>
      <c r="E7" s="26" t="s">
        <v>7</v>
      </c>
      <c r="F7" s="27"/>
      <c r="G7" s="27"/>
      <c r="H7" s="26" t="s">
        <v>8</v>
      </c>
      <c r="I7" s="27"/>
      <c r="J7" s="27"/>
      <c r="K7" s="26" t="s">
        <v>9</v>
      </c>
      <c r="L7" s="27"/>
      <c r="M7" s="27"/>
      <c r="N7" s="26" t="s">
        <v>10</v>
      </c>
      <c r="O7" s="27"/>
      <c r="P7" s="27"/>
      <c r="Q7" s="26" t="s">
        <v>11</v>
      </c>
      <c r="R7" s="27"/>
      <c r="S7" s="27"/>
      <c r="T7" s="26" t="s">
        <v>12</v>
      </c>
      <c r="U7" s="27"/>
      <c r="V7" s="27"/>
      <c r="W7" s="26" t="s">
        <v>13</v>
      </c>
      <c r="X7" s="27"/>
      <c r="Y7" s="27"/>
      <c r="Z7" s="26" t="s">
        <v>14</v>
      </c>
      <c r="AA7" s="27"/>
      <c r="AB7" s="27"/>
      <c r="AC7" s="26" t="s">
        <v>15</v>
      </c>
      <c r="AD7" s="27"/>
      <c r="AE7" s="27"/>
      <c r="AF7" s="26" t="s">
        <v>16</v>
      </c>
      <c r="AG7" s="27"/>
      <c r="AH7" s="27"/>
      <c r="AI7" s="26" t="s">
        <v>17</v>
      </c>
      <c r="AJ7" s="27"/>
      <c r="AK7" s="27"/>
    </row>
    <row r="8" spans="1:37" x14ac:dyDescent="0.35">
      <c r="A8" s="18"/>
      <c r="B8" s="22" t="s">
        <v>19</v>
      </c>
      <c r="C8" s="22" t="s">
        <v>87</v>
      </c>
      <c r="D8" s="22" t="s">
        <v>20</v>
      </c>
      <c r="E8" s="22" t="s">
        <v>19</v>
      </c>
      <c r="F8" s="22" t="s">
        <v>87</v>
      </c>
      <c r="G8" s="22" t="s">
        <v>20</v>
      </c>
      <c r="H8" s="22" t="s">
        <v>19</v>
      </c>
      <c r="I8" s="22" t="s">
        <v>87</v>
      </c>
      <c r="J8" s="22" t="s">
        <v>20</v>
      </c>
      <c r="K8" s="22" t="s">
        <v>19</v>
      </c>
      <c r="L8" s="22" t="s">
        <v>87</v>
      </c>
      <c r="M8" s="22" t="s">
        <v>20</v>
      </c>
      <c r="N8" s="22" t="s">
        <v>19</v>
      </c>
      <c r="O8" s="22" t="s">
        <v>87</v>
      </c>
      <c r="P8" s="22" t="s">
        <v>20</v>
      </c>
      <c r="Q8" s="22" t="s">
        <v>19</v>
      </c>
      <c r="R8" s="22" t="s">
        <v>87</v>
      </c>
      <c r="S8" s="22" t="s">
        <v>20</v>
      </c>
      <c r="T8" s="22" t="s">
        <v>19</v>
      </c>
      <c r="U8" s="22" t="s">
        <v>87</v>
      </c>
      <c r="V8" s="22" t="s">
        <v>20</v>
      </c>
      <c r="W8" s="22" t="s">
        <v>19</v>
      </c>
      <c r="X8" s="22" t="s">
        <v>87</v>
      </c>
      <c r="Y8" s="22" t="s">
        <v>20</v>
      </c>
      <c r="Z8" s="22" t="s">
        <v>19</v>
      </c>
      <c r="AA8" s="22" t="s">
        <v>87</v>
      </c>
      <c r="AB8" s="22" t="s">
        <v>20</v>
      </c>
      <c r="AC8" s="22" t="s">
        <v>19</v>
      </c>
      <c r="AD8" s="22" t="s">
        <v>87</v>
      </c>
      <c r="AE8" s="22" t="s">
        <v>20</v>
      </c>
      <c r="AF8" s="22" t="s">
        <v>19</v>
      </c>
      <c r="AG8" s="22" t="s">
        <v>87</v>
      </c>
      <c r="AH8" s="22" t="s">
        <v>20</v>
      </c>
      <c r="AI8" s="22" t="s">
        <v>19</v>
      </c>
      <c r="AJ8" s="22" t="s">
        <v>87</v>
      </c>
      <c r="AK8" s="22" t="s">
        <v>20</v>
      </c>
    </row>
    <row r="9" spans="1:37" x14ac:dyDescent="0.35">
      <c r="A9" s="24" t="s">
        <v>21</v>
      </c>
      <c r="B9" s="25">
        <v>7400</v>
      </c>
      <c r="C9" s="20"/>
      <c r="D9" s="25">
        <v>2500</v>
      </c>
      <c r="E9" s="25">
        <v>17500</v>
      </c>
      <c r="F9" s="20"/>
      <c r="G9" s="25">
        <v>5700</v>
      </c>
      <c r="H9" s="25">
        <v>7900</v>
      </c>
      <c r="I9" s="20"/>
      <c r="J9" s="25">
        <v>4100</v>
      </c>
      <c r="K9" s="25">
        <v>7500</v>
      </c>
      <c r="L9" s="20"/>
      <c r="M9" s="25">
        <v>3300</v>
      </c>
      <c r="N9" s="25">
        <v>3200</v>
      </c>
      <c r="O9" s="20"/>
      <c r="P9" s="25" t="s">
        <v>22</v>
      </c>
      <c r="Q9" s="25">
        <v>6600</v>
      </c>
      <c r="R9" s="20"/>
      <c r="S9" s="25">
        <v>3900</v>
      </c>
      <c r="T9" s="25">
        <v>8200</v>
      </c>
      <c r="U9" s="20"/>
      <c r="V9" s="25">
        <v>2300</v>
      </c>
      <c r="W9" s="25">
        <v>14000</v>
      </c>
      <c r="X9" s="20"/>
      <c r="Y9" s="25">
        <v>3700</v>
      </c>
      <c r="Z9" s="25">
        <v>5700</v>
      </c>
      <c r="AA9" s="20"/>
      <c r="AB9" s="25">
        <v>3100</v>
      </c>
      <c r="AC9" s="25">
        <v>9100</v>
      </c>
      <c r="AD9" s="20"/>
      <c r="AE9" s="25">
        <v>3000</v>
      </c>
      <c r="AF9" s="25">
        <v>6800</v>
      </c>
      <c r="AG9" s="20"/>
      <c r="AH9" s="25">
        <v>4100</v>
      </c>
      <c r="AI9" s="25">
        <v>34400</v>
      </c>
      <c r="AJ9" s="20"/>
      <c r="AK9" s="25">
        <v>7500</v>
      </c>
    </row>
    <row r="10" spans="1:37" x14ac:dyDescent="0.35">
      <c r="A10" s="24" t="s">
        <v>23</v>
      </c>
      <c r="B10" s="25">
        <v>4200</v>
      </c>
      <c r="C10" s="20"/>
      <c r="D10" s="25">
        <v>1900</v>
      </c>
      <c r="E10" s="25">
        <v>6200</v>
      </c>
      <c r="F10" s="20"/>
      <c r="G10" s="25">
        <v>3400</v>
      </c>
      <c r="H10" s="25">
        <v>1500</v>
      </c>
      <c r="I10" s="20"/>
      <c r="J10" s="25" t="s">
        <v>22</v>
      </c>
      <c r="K10" s="25">
        <v>3300</v>
      </c>
      <c r="L10" s="20"/>
      <c r="M10" s="25">
        <v>2200</v>
      </c>
      <c r="N10" s="25" t="s">
        <v>24</v>
      </c>
      <c r="O10" s="20"/>
      <c r="P10" s="25" t="s">
        <v>24</v>
      </c>
      <c r="Q10" s="25">
        <v>3100</v>
      </c>
      <c r="R10" s="20"/>
      <c r="S10" s="25" t="s">
        <v>22</v>
      </c>
      <c r="T10" s="25">
        <v>4200</v>
      </c>
      <c r="U10" s="20"/>
      <c r="V10" s="25">
        <v>1700</v>
      </c>
      <c r="W10" s="25">
        <v>3000</v>
      </c>
      <c r="X10" s="20"/>
      <c r="Y10" s="25">
        <v>1700</v>
      </c>
      <c r="Z10" s="25" t="s">
        <v>24</v>
      </c>
      <c r="AA10" s="20"/>
      <c r="AB10" s="25" t="s">
        <v>24</v>
      </c>
      <c r="AC10" s="25">
        <v>3200</v>
      </c>
      <c r="AD10" s="20"/>
      <c r="AE10" s="25">
        <v>1800</v>
      </c>
      <c r="AF10" s="25">
        <v>3700</v>
      </c>
      <c r="AG10" s="20"/>
      <c r="AH10" s="25" t="s">
        <v>22</v>
      </c>
      <c r="AI10" s="25">
        <v>10400</v>
      </c>
      <c r="AJ10" s="20"/>
      <c r="AK10" s="25">
        <v>4100</v>
      </c>
    </row>
    <row r="11" spans="1:37" x14ac:dyDescent="0.35">
      <c r="A11" s="24" t="s">
        <v>25</v>
      </c>
      <c r="B11" s="25">
        <v>10300</v>
      </c>
      <c r="C11" s="20"/>
      <c r="D11" s="25">
        <v>3000</v>
      </c>
      <c r="E11" s="25">
        <v>39000</v>
      </c>
      <c r="F11" s="20"/>
      <c r="G11" s="25">
        <v>8500</v>
      </c>
      <c r="H11" s="25">
        <v>4800</v>
      </c>
      <c r="I11" s="20"/>
      <c r="J11" s="25" t="s">
        <v>22</v>
      </c>
      <c r="K11" s="25">
        <v>2500</v>
      </c>
      <c r="L11" s="20"/>
      <c r="M11" s="25" t="s">
        <v>22</v>
      </c>
      <c r="N11" s="25">
        <v>5300</v>
      </c>
      <c r="O11" s="20"/>
      <c r="P11" s="25" t="s">
        <v>22</v>
      </c>
      <c r="Q11" s="25">
        <v>6700</v>
      </c>
      <c r="R11" s="20"/>
      <c r="S11" s="25">
        <v>4000</v>
      </c>
      <c r="T11" s="25">
        <v>9300</v>
      </c>
      <c r="U11" s="20"/>
      <c r="V11" s="25">
        <v>2400</v>
      </c>
      <c r="W11" s="25">
        <v>17100</v>
      </c>
      <c r="X11" s="20"/>
      <c r="Y11" s="25">
        <v>4100</v>
      </c>
      <c r="Z11" s="25">
        <v>3400</v>
      </c>
      <c r="AA11" s="20"/>
      <c r="AB11" s="25" t="s">
        <v>22</v>
      </c>
      <c r="AC11" s="25">
        <v>11100</v>
      </c>
      <c r="AD11" s="20"/>
      <c r="AE11" s="25">
        <v>3300</v>
      </c>
      <c r="AF11" s="25">
        <v>3800</v>
      </c>
      <c r="AG11" s="20"/>
      <c r="AH11" s="25" t="s">
        <v>22</v>
      </c>
      <c r="AI11" s="25">
        <v>24800</v>
      </c>
      <c r="AJ11" s="20"/>
      <c r="AK11" s="25">
        <v>6400</v>
      </c>
    </row>
    <row r="12" spans="1:37" x14ac:dyDescent="0.35">
      <c r="A12" s="24" t="s">
        <v>26</v>
      </c>
      <c r="B12" s="25">
        <v>5000</v>
      </c>
      <c r="C12" s="20"/>
      <c r="D12" s="25">
        <v>2100</v>
      </c>
      <c r="E12" s="25">
        <v>16300</v>
      </c>
      <c r="F12" s="20"/>
      <c r="G12" s="25">
        <v>5500</v>
      </c>
      <c r="H12" s="25">
        <v>2100</v>
      </c>
      <c r="I12" s="20"/>
      <c r="J12" s="25" t="s">
        <v>22</v>
      </c>
      <c r="K12" s="25">
        <v>2000</v>
      </c>
      <c r="L12" s="20"/>
      <c r="M12" s="25" t="s">
        <v>22</v>
      </c>
      <c r="N12" s="25">
        <v>2600</v>
      </c>
      <c r="O12" s="20"/>
      <c r="P12" s="25" t="s">
        <v>22</v>
      </c>
      <c r="Q12" s="25">
        <v>4700</v>
      </c>
      <c r="R12" s="20"/>
      <c r="S12" s="25" t="s">
        <v>22</v>
      </c>
      <c r="T12" s="25">
        <v>5900</v>
      </c>
      <c r="U12" s="20"/>
      <c r="V12" s="25">
        <v>2000</v>
      </c>
      <c r="W12" s="25">
        <v>5700</v>
      </c>
      <c r="X12" s="20"/>
      <c r="Y12" s="25">
        <v>2400</v>
      </c>
      <c r="Z12" s="25">
        <v>5500</v>
      </c>
      <c r="AA12" s="20"/>
      <c r="AB12" s="25">
        <v>3000</v>
      </c>
      <c r="AC12" s="25">
        <v>2800</v>
      </c>
      <c r="AD12" s="20"/>
      <c r="AE12" s="25">
        <v>1600</v>
      </c>
      <c r="AF12" s="25">
        <v>2900</v>
      </c>
      <c r="AG12" s="20"/>
      <c r="AH12" s="25" t="s">
        <v>22</v>
      </c>
      <c r="AI12" s="25">
        <v>10700</v>
      </c>
      <c r="AJ12" s="20"/>
      <c r="AK12" s="25">
        <v>4200</v>
      </c>
    </row>
    <row r="13" spans="1:37" x14ac:dyDescent="0.35">
      <c r="A13" s="24" t="s">
        <v>27</v>
      </c>
      <c r="B13" s="25">
        <v>8500</v>
      </c>
      <c r="C13" s="20"/>
      <c r="D13" s="25">
        <v>2700</v>
      </c>
      <c r="E13" s="25">
        <v>17600</v>
      </c>
      <c r="F13" s="20"/>
      <c r="G13" s="25">
        <v>5700</v>
      </c>
      <c r="H13" s="25">
        <v>6700</v>
      </c>
      <c r="I13" s="20"/>
      <c r="J13" s="25">
        <v>3800</v>
      </c>
      <c r="K13" s="25">
        <v>1600</v>
      </c>
      <c r="L13" s="20"/>
      <c r="M13" s="25" t="s">
        <v>22</v>
      </c>
      <c r="N13" s="25" t="s">
        <v>24</v>
      </c>
      <c r="O13" s="20"/>
      <c r="P13" s="25" t="s">
        <v>24</v>
      </c>
      <c r="Q13" s="25">
        <v>2600</v>
      </c>
      <c r="R13" s="20"/>
      <c r="S13" s="25" t="s">
        <v>22</v>
      </c>
      <c r="T13" s="25">
        <v>5600</v>
      </c>
      <c r="U13" s="20"/>
      <c r="V13" s="25">
        <v>1900</v>
      </c>
      <c r="W13" s="25">
        <v>9700</v>
      </c>
      <c r="X13" s="20"/>
      <c r="Y13" s="25">
        <v>3100</v>
      </c>
      <c r="Z13" s="25">
        <v>3500</v>
      </c>
      <c r="AA13" s="20"/>
      <c r="AB13" s="25" t="s">
        <v>22</v>
      </c>
      <c r="AC13" s="25">
        <v>3900</v>
      </c>
      <c r="AD13" s="20"/>
      <c r="AE13" s="25">
        <v>1900</v>
      </c>
      <c r="AF13" s="25" t="s">
        <v>24</v>
      </c>
      <c r="AG13" s="20"/>
      <c r="AH13" s="25" t="s">
        <v>24</v>
      </c>
      <c r="AI13" s="25">
        <v>16000</v>
      </c>
      <c r="AJ13" s="20"/>
      <c r="AK13" s="25">
        <v>5100</v>
      </c>
    </row>
    <row r="14" spans="1:37" x14ac:dyDescent="0.35">
      <c r="A14" s="24" t="s">
        <v>28</v>
      </c>
      <c r="B14" s="25">
        <v>12100</v>
      </c>
      <c r="C14" s="20"/>
      <c r="D14" s="25">
        <v>3200</v>
      </c>
      <c r="E14" s="25">
        <v>26500</v>
      </c>
      <c r="F14" s="20"/>
      <c r="G14" s="25">
        <v>7000</v>
      </c>
      <c r="H14" s="25">
        <v>8400</v>
      </c>
      <c r="I14" s="20"/>
      <c r="J14" s="25">
        <v>4200</v>
      </c>
      <c r="K14" s="25">
        <v>7100</v>
      </c>
      <c r="L14" s="20"/>
      <c r="M14" s="25">
        <v>3300</v>
      </c>
      <c r="N14" s="25">
        <v>2100</v>
      </c>
      <c r="O14" s="20"/>
      <c r="P14" s="25" t="s">
        <v>22</v>
      </c>
      <c r="Q14" s="25">
        <v>5900</v>
      </c>
      <c r="R14" s="20"/>
      <c r="S14" s="25">
        <v>3700</v>
      </c>
      <c r="T14" s="25">
        <v>7400</v>
      </c>
      <c r="U14" s="20"/>
      <c r="V14" s="25">
        <v>2200</v>
      </c>
      <c r="W14" s="25">
        <v>13900</v>
      </c>
      <c r="X14" s="20"/>
      <c r="Y14" s="25">
        <v>3700</v>
      </c>
      <c r="Z14" s="25">
        <v>5700</v>
      </c>
      <c r="AA14" s="20"/>
      <c r="AB14" s="25">
        <v>3100</v>
      </c>
      <c r="AC14" s="25">
        <v>8000</v>
      </c>
      <c r="AD14" s="20"/>
      <c r="AE14" s="25">
        <v>2800</v>
      </c>
      <c r="AF14" s="25">
        <v>6200</v>
      </c>
      <c r="AG14" s="20"/>
      <c r="AH14" s="25" t="s">
        <v>22</v>
      </c>
      <c r="AI14" s="25">
        <v>24300</v>
      </c>
      <c r="AJ14" s="20"/>
      <c r="AK14" s="25">
        <v>6300</v>
      </c>
    </row>
    <row r="15" spans="1:37" x14ac:dyDescent="0.35">
      <c r="A15" s="24" t="s">
        <v>29</v>
      </c>
      <c r="B15" s="25">
        <v>1100</v>
      </c>
      <c r="C15" s="20"/>
      <c r="D15" s="25" t="s">
        <v>22</v>
      </c>
      <c r="E15" s="25">
        <v>5800</v>
      </c>
      <c r="F15" s="20"/>
      <c r="G15" s="25">
        <v>3300</v>
      </c>
      <c r="H15" s="25" t="s">
        <v>24</v>
      </c>
      <c r="I15" s="20"/>
      <c r="J15" s="25" t="s">
        <v>24</v>
      </c>
      <c r="K15" s="25">
        <v>1300</v>
      </c>
      <c r="L15" s="20"/>
      <c r="M15" s="25" t="s">
        <v>22</v>
      </c>
      <c r="N15" s="25" t="s">
        <v>24</v>
      </c>
      <c r="O15" s="20"/>
      <c r="P15" s="25" t="s">
        <v>24</v>
      </c>
      <c r="Q15" s="25" t="s">
        <v>24</v>
      </c>
      <c r="R15" s="20"/>
      <c r="S15" s="25" t="s">
        <v>24</v>
      </c>
      <c r="T15" s="25">
        <v>1700</v>
      </c>
      <c r="U15" s="20"/>
      <c r="V15" s="25" t="s">
        <v>22</v>
      </c>
      <c r="W15" s="25">
        <v>5400</v>
      </c>
      <c r="X15" s="20"/>
      <c r="Y15" s="25">
        <v>2300</v>
      </c>
      <c r="Z15" s="25" t="s">
        <v>24</v>
      </c>
      <c r="AA15" s="20"/>
      <c r="AB15" s="25" t="s">
        <v>24</v>
      </c>
      <c r="AC15" s="25">
        <v>2300</v>
      </c>
      <c r="AD15" s="20"/>
      <c r="AE15" s="25" t="s">
        <v>22</v>
      </c>
      <c r="AF15" s="25" t="s">
        <v>24</v>
      </c>
      <c r="AG15" s="20"/>
      <c r="AH15" s="25" t="s">
        <v>24</v>
      </c>
      <c r="AI15" s="25">
        <v>3400</v>
      </c>
      <c r="AJ15" s="20"/>
      <c r="AK15" s="25" t="s">
        <v>22</v>
      </c>
    </row>
    <row r="16" spans="1:37" x14ac:dyDescent="0.35">
      <c r="A16" s="24" t="s">
        <v>30</v>
      </c>
      <c r="B16" s="25">
        <v>1700</v>
      </c>
      <c r="C16" s="20"/>
      <c r="D16" s="25" t="s">
        <v>22</v>
      </c>
      <c r="E16" s="25">
        <v>6600</v>
      </c>
      <c r="F16" s="20"/>
      <c r="G16" s="25">
        <v>3500</v>
      </c>
      <c r="H16" s="25">
        <v>1600</v>
      </c>
      <c r="I16" s="20"/>
      <c r="J16" s="25" t="s">
        <v>22</v>
      </c>
      <c r="K16" s="25" t="s">
        <v>24</v>
      </c>
      <c r="L16" s="20"/>
      <c r="M16" s="25" t="s">
        <v>24</v>
      </c>
      <c r="N16" s="25" t="s">
        <v>24</v>
      </c>
      <c r="O16" s="20"/>
      <c r="P16" s="25" t="s">
        <v>24</v>
      </c>
      <c r="Q16" s="25">
        <v>2400</v>
      </c>
      <c r="R16" s="20"/>
      <c r="S16" s="25" t="s">
        <v>22</v>
      </c>
      <c r="T16" s="25">
        <v>3100</v>
      </c>
      <c r="U16" s="20"/>
      <c r="V16" s="25">
        <v>1400</v>
      </c>
      <c r="W16" s="25">
        <v>3200</v>
      </c>
      <c r="X16" s="20"/>
      <c r="Y16" s="25">
        <v>1800</v>
      </c>
      <c r="Z16" s="25">
        <v>1700</v>
      </c>
      <c r="AA16" s="20"/>
      <c r="AB16" s="25" t="s">
        <v>22</v>
      </c>
      <c r="AC16" s="25">
        <v>1100</v>
      </c>
      <c r="AD16" s="20"/>
      <c r="AE16" s="25" t="s">
        <v>22</v>
      </c>
      <c r="AF16" s="25">
        <v>3100</v>
      </c>
      <c r="AG16" s="20"/>
      <c r="AH16" s="25" t="s">
        <v>22</v>
      </c>
      <c r="AI16" s="25">
        <v>4700</v>
      </c>
      <c r="AJ16" s="20"/>
      <c r="AK16" s="25">
        <v>2800</v>
      </c>
    </row>
    <row r="17" spans="1:37" x14ac:dyDescent="0.35">
      <c r="A17" s="24" t="s">
        <v>31</v>
      </c>
      <c r="B17" s="25" t="s">
        <v>24</v>
      </c>
      <c r="C17" s="20"/>
      <c r="D17" s="25" t="s">
        <v>24</v>
      </c>
      <c r="E17" s="25">
        <v>1100</v>
      </c>
      <c r="F17" s="20"/>
      <c r="G17" s="25" t="s">
        <v>22</v>
      </c>
      <c r="H17" s="25" t="s">
        <v>24</v>
      </c>
      <c r="I17" s="20"/>
      <c r="J17" s="25" t="s">
        <v>24</v>
      </c>
      <c r="K17" s="25" t="s">
        <v>24</v>
      </c>
      <c r="L17" s="20"/>
      <c r="M17" s="25" t="s">
        <v>24</v>
      </c>
      <c r="N17" s="25" t="s">
        <v>24</v>
      </c>
      <c r="O17" s="20"/>
      <c r="P17" s="25" t="s">
        <v>24</v>
      </c>
      <c r="Q17" s="25">
        <v>2700</v>
      </c>
      <c r="R17" s="20"/>
      <c r="S17" s="25" t="s">
        <v>22</v>
      </c>
      <c r="T17" s="25">
        <v>1800</v>
      </c>
      <c r="U17" s="20"/>
      <c r="V17" s="25" t="s">
        <v>22</v>
      </c>
      <c r="W17" s="25">
        <v>2400</v>
      </c>
      <c r="X17" s="20"/>
      <c r="Y17" s="25" t="s">
        <v>22</v>
      </c>
      <c r="Z17" s="25" t="s">
        <v>24</v>
      </c>
      <c r="AA17" s="20"/>
      <c r="AB17" s="25" t="s">
        <v>24</v>
      </c>
      <c r="AC17" s="25">
        <v>1300</v>
      </c>
      <c r="AD17" s="20"/>
      <c r="AE17" s="25" t="s">
        <v>22</v>
      </c>
      <c r="AF17" s="25" t="s">
        <v>24</v>
      </c>
      <c r="AG17" s="20"/>
      <c r="AH17" s="25" t="s">
        <v>24</v>
      </c>
      <c r="AI17" s="25">
        <v>3100</v>
      </c>
      <c r="AJ17" s="20"/>
      <c r="AK17" s="25" t="s">
        <v>22</v>
      </c>
    </row>
    <row r="18" spans="1:37" x14ac:dyDescent="0.35">
      <c r="A18" s="24" t="s">
        <v>32</v>
      </c>
      <c r="B18" s="25">
        <v>3500</v>
      </c>
      <c r="C18" s="20"/>
      <c r="D18" s="25">
        <v>1700</v>
      </c>
      <c r="E18" s="25">
        <v>13300</v>
      </c>
      <c r="F18" s="20"/>
      <c r="G18" s="25">
        <v>5000</v>
      </c>
      <c r="H18" s="25" t="s">
        <v>24</v>
      </c>
      <c r="I18" s="20"/>
      <c r="J18" s="25" t="s">
        <v>24</v>
      </c>
      <c r="K18" s="25" t="s">
        <v>24</v>
      </c>
      <c r="L18" s="20"/>
      <c r="M18" s="25" t="s">
        <v>24</v>
      </c>
      <c r="N18" s="25">
        <v>1800</v>
      </c>
      <c r="O18" s="20"/>
      <c r="P18" s="25" t="s">
        <v>22</v>
      </c>
      <c r="Q18" s="25">
        <v>1700</v>
      </c>
      <c r="R18" s="20"/>
      <c r="S18" s="25" t="s">
        <v>22</v>
      </c>
      <c r="T18" s="25">
        <v>2400</v>
      </c>
      <c r="U18" s="20"/>
      <c r="V18" s="25">
        <v>1200</v>
      </c>
      <c r="W18" s="25">
        <v>3500</v>
      </c>
      <c r="X18" s="20"/>
      <c r="Y18" s="25">
        <v>1900</v>
      </c>
      <c r="Z18" s="25">
        <v>1900</v>
      </c>
      <c r="AA18" s="20"/>
      <c r="AB18" s="25" t="s">
        <v>22</v>
      </c>
      <c r="AC18" s="25">
        <v>1700</v>
      </c>
      <c r="AD18" s="20"/>
      <c r="AE18" s="25" t="s">
        <v>22</v>
      </c>
      <c r="AF18" s="25" t="s">
        <v>24</v>
      </c>
      <c r="AG18" s="20"/>
      <c r="AH18" s="25" t="s">
        <v>24</v>
      </c>
      <c r="AI18" s="25">
        <v>7000</v>
      </c>
      <c r="AJ18" s="20"/>
      <c r="AK18" s="25">
        <v>3400</v>
      </c>
    </row>
    <row r="19" spans="1:37" x14ac:dyDescent="0.35">
      <c r="A19" s="24" t="s">
        <v>33</v>
      </c>
      <c r="B19" s="25">
        <v>5700</v>
      </c>
      <c r="C19" s="20"/>
      <c r="D19" s="25">
        <v>2200</v>
      </c>
      <c r="E19" s="25">
        <v>19200</v>
      </c>
      <c r="F19" s="20"/>
      <c r="G19" s="25">
        <v>6000</v>
      </c>
      <c r="H19" s="25">
        <v>4300</v>
      </c>
      <c r="I19" s="20"/>
      <c r="J19" s="25" t="s">
        <v>22</v>
      </c>
      <c r="K19" s="25">
        <v>2600</v>
      </c>
      <c r="L19" s="20"/>
      <c r="M19" s="25" t="s">
        <v>22</v>
      </c>
      <c r="N19" s="25">
        <v>2900</v>
      </c>
      <c r="O19" s="20"/>
      <c r="P19" s="25" t="s">
        <v>22</v>
      </c>
      <c r="Q19" s="25">
        <v>4700</v>
      </c>
      <c r="R19" s="20"/>
      <c r="S19" s="25" t="s">
        <v>22</v>
      </c>
      <c r="T19" s="25">
        <v>9600</v>
      </c>
      <c r="U19" s="20"/>
      <c r="V19" s="25">
        <v>2500</v>
      </c>
      <c r="W19" s="25">
        <v>13600</v>
      </c>
      <c r="X19" s="20"/>
      <c r="Y19" s="25">
        <v>3700</v>
      </c>
      <c r="Z19" s="25">
        <v>5800</v>
      </c>
      <c r="AA19" s="20"/>
      <c r="AB19" s="25">
        <v>3100</v>
      </c>
      <c r="AC19" s="25">
        <v>10500</v>
      </c>
      <c r="AD19" s="20"/>
      <c r="AE19" s="25">
        <v>3200</v>
      </c>
      <c r="AF19" s="25">
        <v>2400</v>
      </c>
      <c r="AG19" s="20"/>
      <c r="AH19" s="25" t="s">
        <v>22</v>
      </c>
      <c r="AI19" s="25">
        <v>18800</v>
      </c>
      <c r="AJ19" s="20"/>
      <c r="AK19" s="25">
        <v>5600</v>
      </c>
    </row>
    <row r="20" spans="1:37" x14ac:dyDescent="0.35">
      <c r="A20" s="24" t="s">
        <v>34</v>
      </c>
      <c r="B20" s="25">
        <v>6100</v>
      </c>
      <c r="C20" s="20"/>
      <c r="D20" s="25">
        <v>2300</v>
      </c>
      <c r="E20" s="25">
        <v>12400</v>
      </c>
      <c r="F20" s="20"/>
      <c r="G20" s="25">
        <v>4800</v>
      </c>
      <c r="H20" s="25">
        <v>3400</v>
      </c>
      <c r="I20" s="20"/>
      <c r="J20" s="25" t="s">
        <v>22</v>
      </c>
      <c r="K20" s="25">
        <v>2900</v>
      </c>
      <c r="L20" s="20"/>
      <c r="M20" s="25" t="s">
        <v>22</v>
      </c>
      <c r="N20" s="25">
        <v>3300</v>
      </c>
      <c r="O20" s="20"/>
      <c r="P20" s="25" t="s">
        <v>22</v>
      </c>
      <c r="Q20" s="25">
        <v>7600</v>
      </c>
      <c r="R20" s="20"/>
      <c r="S20" s="25">
        <v>4200</v>
      </c>
      <c r="T20" s="25">
        <v>7600</v>
      </c>
      <c r="U20" s="20"/>
      <c r="V20" s="25">
        <v>2200</v>
      </c>
      <c r="W20" s="25">
        <v>13100</v>
      </c>
      <c r="X20" s="20"/>
      <c r="Y20" s="25">
        <v>3600</v>
      </c>
      <c r="Z20" s="25">
        <v>4400</v>
      </c>
      <c r="AA20" s="20"/>
      <c r="AB20" s="25" t="s">
        <v>22</v>
      </c>
      <c r="AC20" s="25">
        <v>8100</v>
      </c>
      <c r="AD20" s="20"/>
      <c r="AE20" s="25">
        <v>2800</v>
      </c>
      <c r="AF20" s="25">
        <v>4300</v>
      </c>
      <c r="AG20" s="20"/>
      <c r="AH20" s="25" t="s">
        <v>22</v>
      </c>
      <c r="AI20" s="25">
        <v>18700</v>
      </c>
      <c r="AJ20" s="20"/>
      <c r="AK20" s="25">
        <v>5500</v>
      </c>
    </row>
    <row r="21" spans="1:37" x14ac:dyDescent="0.35">
      <c r="A21" s="24" t="s">
        <v>35</v>
      </c>
      <c r="B21" s="25">
        <v>1500</v>
      </c>
      <c r="C21" s="20"/>
      <c r="D21" s="25" t="s">
        <v>22</v>
      </c>
      <c r="E21" s="25">
        <v>2700</v>
      </c>
      <c r="F21" s="20"/>
      <c r="G21" s="25" t="s">
        <v>22</v>
      </c>
      <c r="H21" s="25" t="s">
        <v>24</v>
      </c>
      <c r="I21" s="20"/>
      <c r="J21" s="25" t="s">
        <v>24</v>
      </c>
      <c r="K21" s="25">
        <v>1100</v>
      </c>
      <c r="L21" s="20"/>
      <c r="M21" s="25" t="s">
        <v>22</v>
      </c>
      <c r="N21" s="25" t="s">
        <v>24</v>
      </c>
      <c r="O21" s="20"/>
      <c r="P21" s="25" t="s">
        <v>24</v>
      </c>
      <c r="Q21" s="25" t="s">
        <v>24</v>
      </c>
      <c r="R21" s="20"/>
      <c r="S21" s="25" t="s">
        <v>24</v>
      </c>
      <c r="T21" s="25" t="s">
        <v>24</v>
      </c>
      <c r="U21" s="20"/>
      <c r="V21" s="25" t="s">
        <v>24</v>
      </c>
      <c r="W21" s="25">
        <v>1300</v>
      </c>
      <c r="X21" s="20"/>
      <c r="Y21" s="25" t="s">
        <v>22</v>
      </c>
      <c r="Z21" s="25" t="s">
        <v>24</v>
      </c>
      <c r="AA21" s="20"/>
      <c r="AB21" s="25" t="s">
        <v>24</v>
      </c>
      <c r="AC21" s="25">
        <v>1700</v>
      </c>
      <c r="AD21" s="20"/>
      <c r="AE21" s="25" t="s">
        <v>22</v>
      </c>
      <c r="AF21" s="25" t="s">
        <v>24</v>
      </c>
      <c r="AG21" s="20"/>
      <c r="AH21" s="25" t="s">
        <v>24</v>
      </c>
      <c r="AI21" s="25">
        <v>3300</v>
      </c>
      <c r="AJ21" s="20"/>
      <c r="AK21" s="25" t="s">
        <v>22</v>
      </c>
    </row>
    <row r="22" spans="1:37" x14ac:dyDescent="0.35">
      <c r="A22" s="24" t="s">
        <v>36</v>
      </c>
      <c r="B22" s="25">
        <v>1200</v>
      </c>
      <c r="C22" s="20"/>
      <c r="D22" s="25" t="s">
        <v>22</v>
      </c>
      <c r="E22" s="25">
        <v>1300</v>
      </c>
      <c r="F22" s="20"/>
      <c r="G22" s="25" t="s">
        <v>22</v>
      </c>
      <c r="H22" s="25" t="s">
        <v>24</v>
      </c>
      <c r="I22" s="20"/>
      <c r="J22" s="25" t="s">
        <v>24</v>
      </c>
      <c r="K22" s="25" t="s">
        <v>24</v>
      </c>
      <c r="L22" s="20"/>
      <c r="M22" s="25" t="s">
        <v>24</v>
      </c>
      <c r="N22" s="25" t="s">
        <v>24</v>
      </c>
      <c r="O22" s="20"/>
      <c r="P22" s="25" t="s">
        <v>24</v>
      </c>
      <c r="Q22" s="25" t="s">
        <v>24</v>
      </c>
      <c r="R22" s="20"/>
      <c r="S22" s="25" t="s">
        <v>24</v>
      </c>
      <c r="T22" s="25">
        <v>1100</v>
      </c>
      <c r="U22" s="20"/>
      <c r="V22" s="25" t="s">
        <v>22</v>
      </c>
      <c r="W22" s="25">
        <v>1000</v>
      </c>
      <c r="X22" s="20"/>
      <c r="Y22" s="25" t="s">
        <v>22</v>
      </c>
      <c r="Z22" s="25" t="s">
        <v>24</v>
      </c>
      <c r="AA22" s="20"/>
      <c r="AB22" s="25" t="s">
        <v>24</v>
      </c>
      <c r="AC22" s="25">
        <v>800</v>
      </c>
      <c r="AD22" s="20"/>
      <c r="AE22" s="25" t="s">
        <v>22</v>
      </c>
      <c r="AF22" s="25" t="s">
        <v>24</v>
      </c>
      <c r="AG22" s="20"/>
      <c r="AH22" s="25" t="s">
        <v>24</v>
      </c>
      <c r="AI22" s="25">
        <v>4500</v>
      </c>
      <c r="AJ22" s="20"/>
      <c r="AK22" s="25">
        <v>2700</v>
      </c>
    </row>
    <row r="23" spans="1:37" x14ac:dyDescent="0.35">
      <c r="A23" s="24" t="s">
        <v>37</v>
      </c>
      <c r="B23" s="25">
        <v>1400</v>
      </c>
      <c r="C23" s="20"/>
      <c r="D23" s="25" t="s">
        <v>22</v>
      </c>
      <c r="E23" s="25">
        <v>4900</v>
      </c>
      <c r="F23" s="20"/>
      <c r="G23" s="25">
        <v>3000</v>
      </c>
      <c r="H23" s="25">
        <v>2500</v>
      </c>
      <c r="I23" s="20"/>
      <c r="J23" s="25" t="s">
        <v>22</v>
      </c>
      <c r="K23" s="25" t="s">
        <v>24</v>
      </c>
      <c r="L23" s="20"/>
      <c r="M23" s="25" t="s">
        <v>24</v>
      </c>
      <c r="N23" s="25" t="s">
        <v>24</v>
      </c>
      <c r="O23" s="20"/>
      <c r="P23" s="25" t="s">
        <v>24</v>
      </c>
      <c r="Q23" s="25">
        <v>1700</v>
      </c>
      <c r="R23" s="20"/>
      <c r="S23" s="25" t="s">
        <v>22</v>
      </c>
      <c r="T23" s="25">
        <v>4300</v>
      </c>
      <c r="U23" s="20"/>
      <c r="V23" s="25">
        <v>1700</v>
      </c>
      <c r="W23" s="25">
        <v>5200</v>
      </c>
      <c r="X23" s="20"/>
      <c r="Y23" s="25">
        <v>2300</v>
      </c>
      <c r="Z23" s="25">
        <v>2000</v>
      </c>
      <c r="AA23" s="20"/>
      <c r="AB23" s="25" t="s">
        <v>22</v>
      </c>
      <c r="AC23" s="25">
        <v>3100</v>
      </c>
      <c r="AD23" s="20"/>
      <c r="AE23" s="25">
        <v>1700</v>
      </c>
      <c r="AF23" s="25">
        <v>1700</v>
      </c>
      <c r="AG23" s="20"/>
      <c r="AH23" s="25" t="s">
        <v>22</v>
      </c>
      <c r="AI23" s="25">
        <v>7100</v>
      </c>
      <c r="AJ23" s="20"/>
      <c r="AK23" s="25">
        <v>3400</v>
      </c>
    </row>
    <row r="24" spans="1:37" x14ac:dyDescent="0.35">
      <c r="A24" s="24" t="s">
        <v>38</v>
      </c>
      <c r="B24" s="25">
        <v>2000</v>
      </c>
      <c r="C24" s="20"/>
      <c r="D24" s="25" t="s">
        <v>22</v>
      </c>
      <c r="E24" s="25">
        <v>4600</v>
      </c>
      <c r="F24" s="20"/>
      <c r="G24" s="25" t="s">
        <v>22</v>
      </c>
      <c r="H24" s="25" t="s">
        <v>24</v>
      </c>
      <c r="I24" s="20"/>
      <c r="J24" s="25" t="s">
        <v>24</v>
      </c>
      <c r="K24" s="25">
        <v>1900</v>
      </c>
      <c r="L24" s="20"/>
      <c r="M24" s="25" t="s">
        <v>22</v>
      </c>
      <c r="N24" s="25">
        <v>2400</v>
      </c>
      <c r="O24" s="20"/>
      <c r="P24" s="25" t="s">
        <v>22</v>
      </c>
      <c r="Q24" s="25">
        <v>1800</v>
      </c>
      <c r="R24" s="20"/>
      <c r="S24" s="25" t="s">
        <v>22</v>
      </c>
      <c r="T24" s="25">
        <v>2700</v>
      </c>
      <c r="U24" s="20"/>
      <c r="V24" s="25">
        <v>1300</v>
      </c>
      <c r="W24" s="25">
        <v>4000</v>
      </c>
      <c r="X24" s="20"/>
      <c r="Y24" s="25">
        <v>2000</v>
      </c>
      <c r="Z24" s="25">
        <v>3400</v>
      </c>
      <c r="AA24" s="20"/>
      <c r="AB24" s="25" t="s">
        <v>22</v>
      </c>
      <c r="AC24" s="25">
        <v>3700</v>
      </c>
      <c r="AD24" s="20"/>
      <c r="AE24" s="25">
        <v>1900</v>
      </c>
      <c r="AF24" s="25" t="s">
        <v>24</v>
      </c>
      <c r="AG24" s="20"/>
      <c r="AH24" s="25" t="s">
        <v>24</v>
      </c>
      <c r="AI24" s="25">
        <v>3200</v>
      </c>
      <c r="AJ24" s="20"/>
      <c r="AK24" s="25" t="s">
        <v>22</v>
      </c>
    </row>
    <row r="25" spans="1:37" x14ac:dyDescent="0.35">
      <c r="A25" s="24" t="s">
        <v>39</v>
      </c>
      <c r="B25" s="25">
        <v>700</v>
      </c>
      <c r="C25" s="20"/>
      <c r="D25" s="25" t="s">
        <v>22</v>
      </c>
      <c r="E25" s="25">
        <v>5500</v>
      </c>
      <c r="F25" s="20"/>
      <c r="G25" s="25" t="s">
        <v>22</v>
      </c>
      <c r="H25" s="25" t="s">
        <v>24</v>
      </c>
      <c r="I25" s="20"/>
      <c r="J25" s="25" t="s">
        <v>24</v>
      </c>
      <c r="K25" s="25" t="s">
        <v>24</v>
      </c>
      <c r="L25" s="20"/>
      <c r="M25" s="25" t="s">
        <v>24</v>
      </c>
      <c r="N25" s="25" t="s">
        <v>24</v>
      </c>
      <c r="O25" s="20"/>
      <c r="P25" s="25" t="s">
        <v>24</v>
      </c>
      <c r="Q25" s="25" t="s">
        <v>24</v>
      </c>
      <c r="R25" s="20"/>
      <c r="S25" s="25" t="s">
        <v>24</v>
      </c>
      <c r="T25" s="25">
        <v>1100</v>
      </c>
      <c r="U25" s="20"/>
      <c r="V25" s="25" t="s">
        <v>22</v>
      </c>
      <c r="W25" s="25" t="s">
        <v>24</v>
      </c>
      <c r="X25" s="20"/>
      <c r="Y25" s="25" t="s">
        <v>24</v>
      </c>
      <c r="Z25" s="25">
        <v>1500</v>
      </c>
      <c r="AA25" s="20"/>
      <c r="AB25" s="25" t="s">
        <v>22</v>
      </c>
      <c r="AC25" s="25">
        <v>3200</v>
      </c>
      <c r="AD25" s="20"/>
      <c r="AE25" s="25" t="s">
        <v>22</v>
      </c>
      <c r="AF25" s="25" t="s">
        <v>24</v>
      </c>
      <c r="AG25" s="20"/>
      <c r="AH25" s="25" t="s">
        <v>24</v>
      </c>
      <c r="AI25" s="25">
        <v>2200</v>
      </c>
      <c r="AJ25" s="20"/>
      <c r="AK25" s="25" t="s">
        <v>22</v>
      </c>
    </row>
    <row r="26" spans="1:37" x14ac:dyDescent="0.35">
      <c r="A26" s="24" t="s">
        <v>40</v>
      </c>
      <c r="B26" s="25">
        <v>3700</v>
      </c>
      <c r="C26" s="20"/>
      <c r="D26" s="25">
        <v>1800</v>
      </c>
      <c r="E26" s="25">
        <v>15700</v>
      </c>
      <c r="F26" s="20"/>
      <c r="G26" s="25">
        <v>5400</v>
      </c>
      <c r="H26" s="25">
        <v>3000</v>
      </c>
      <c r="I26" s="20"/>
      <c r="J26" s="25" t="s">
        <v>22</v>
      </c>
      <c r="K26" s="25">
        <v>1200</v>
      </c>
      <c r="L26" s="20"/>
      <c r="M26" s="25" t="s">
        <v>22</v>
      </c>
      <c r="N26" s="25">
        <v>2300</v>
      </c>
      <c r="O26" s="20"/>
      <c r="P26" s="25" t="s">
        <v>22</v>
      </c>
      <c r="Q26" s="25">
        <v>3400</v>
      </c>
      <c r="R26" s="20"/>
      <c r="S26" s="25" t="s">
        <v>22</v>
      </c>
      <c r="T26" s="25">
        <v>5900</v>
      </c>
      <c r="U26" s="20"/>
      <c r="V26" s="25">
        <v>2000</v>
      </c>
      <c r="W26" s="25">
        <v>7500</v>
      </c>
      <c r="X26" s="20"/>
      <c r="Y26" s="25">
        <v>2700</v>
      </c>
      <c r="Z26" s="25">
        <v>2500</v>
      </c>
      <c r="AA26" s="20"/>
      <c r="AB26" s="25" t="s">
        <v>22</v>
      </c>
      <c r="AC26" s="25">
        <v>8900</v>
      </c>
      <c r="AD26" s="20"/>
      <c r="AE26" s="25">
        <v>2900</v>
      </c>
      <c r="AF26" s="25">
        <v>3300</v>
      </c>
      <c r="AG26" s="20"/>
      <c r="AH26" s="25" t="s">
        <v>22</v>
      </c>
      <c r="AI26" s="25">
        <v>17400</v>
      </c>
      <c r="AJ26" s="20"/>
      <c r="AK26" s="25">
        <v>5400</v>
      </c>
    </row>
    <row r="27" spans="1:37" x14ac:dyDescent="0.35">
      <c r="A27" s="24" t="s">
        <v>41</v>
      </c>
      <c r="B27" s="25">
        <v>2200</v>
      </c>
      <c r="C27" s="20"/>
      <c r="D27" s="25" t="s">
        <v>22</v>
      </c>
      <c r="E27" s="25">
        <v>4100</v>
      </c>
      <c r="F27" s="20"/>
      <c r="G27" s="25" t="s">
        <v>22</v>
      </c>
      <c r="H27" s="25" t="s">
        <v>24</v>
      </c>
      <c r="I27" s="20"/>
      <c r="J27" s="25" t="s">
        <v>24</v>
      </c>
      <c r="K27" s="25" t="s">
        <v>24</v>
      </c>
      <c r="L27" s="20"/>
      <c r="M27" s="25" t="s">
        <v>24</v>
      </c>
      <c r="N27" s="25">
        <v>2700</v>
      </c>
      <c r="O27" s="20"/>
      <c r="P27" s="25" t="s">
        <v>22</v>
      </c>
      <c r="Q27" s="25" t="s">
        <v>24</v>
      </c>
      <c r="R27" s="20"/>
      <c r="S27" s="25" t="s">
        <v>24</v>
      </c>
      <c r="T27" s="25">
        <v>2500</v>
      </c>
      <c r="U27" s="20"/>
      <c r="V27" s="25">
        <v>1300</v>
      </c>
      <c r="W27" s="25">
        <v>1400</v>
      </c>
      <c r="X27" s="20"/>
      <c r="Y27" s="25" t="s">
        <v>22</v>
      </c>
      <c r="Z27" s="25" t="s">
        <v>24</v>
      </c>
      <c r="AA27" s="20"/>
      <c r="AB27" s="25" t="s">
        <v>24</v>
      </c>
      <c r="AC27" s="25">
        <v>1200</v>
      </c>
      <c r="AD27" s="20"/>
      <c r="AE27" s="25" t="s">
        <v>22</v>
      </c>
      <c r="AF27" s="25" t="s">
        <v>24</v>
      </c>
      <c r="AG27" s="20"/>
      <c r="AH27" s="25" t="s">
        <v>24</v>
      </c>
      <c r="AI27" s="25">
        <v>2700</v>
      </c>
      <c r="AJ27" s="20"/>
      <c r="AK27" s="25" t="s">
        <v>22</v>
      </c>
    </row>
    <row r="28" spans="1:37" x14ac:dyDescent="0.35">
      <c r="A28" s="24" t="s">
        <v>42</v>
      </c>
      <c r="B28" s="25" t="s">
        <v>24</v>
      </c>
      <c r="C28" s="20"/>
      <c r="D28" s="25" t="s">
        <v>24</v>
      </c>
      <c r="E28" s="25" t="s">
        <v>24</v>
      </c>
      <c r="F28" s="20"/>
      <c r="G28" s="25" t="s">
        <v>24</v>
      </c>
      <c r="H28" s="25" t="s">
        <v>24</v>
      </c>
      <c r="I28" s="20"/>
      <c r="J28" s="25" t="s">
        <v>24</v>
      </c>
      <c r="K28" s="25" t="s">
        <v>24</v>
      </c>
      <c r="L28" s="20"/>
      <c r="M28" s="25" t="s">
        <v>24</v>
      </c>
      <c r="N28" s="25" t="s">
        <v>24</v>
      </c>
      <c r="O28" s="20"/>
      <c r="P28" s="25" t="s">
        <v>24</v>
      </c>
      <c r="Q28" s="25" t="s">
        <v>24</v>
      </c>
      <c r="R28" s="20"/>
      <c r="S28" s="25" t="s">
        <v>24</v>
      </c>
      <c r="T28" s="25" t="s">
        <v>24</v>
      </c>
      <c r="U28" s="20"/>
      <c r="V28" s="25" t="s">
        <v>24</v>
      </c>
      <c r="W28" s="25" t="s">
        <v>24</v>
      </c>
      <c r="X28" s="20"/>
      <c r="Y28" s="25" t="s">
        <v>24</v>
      </c>
      <c r="Z28" s="25" t="s">
        <v>24</v>
      </c>
      <c r="AA28" s="20"/>
      <c r="AB28" s="25" t="s">
        <v>24</v>
      </c>
      <c r="AC28" s="25" t="s">
        <v>24</v>
      </c>
      <c r="AD28" s="20"/>
      <c r="AE28" s="25" t="s">
        <v>24</v>
      </c>
      <c r="AF28" s="25" t="s">
        <v>24</v>
      </c>
      <c r="AG28" s="20"/>
      <c r="AH28" s="25" t="s">
        <v>24</v>
      </c>
      <c r="AI28" s="25" t="s">
        <v>24</v>
      </c>
      <c r="AJ28" s="20"/>
      <c r="AK28" s="25" t="s">
        <v>24</v>
      </c>
    </row>
    <row r="29" spans="1:37" x14ac:dyDescent="0.35">
      <c r="A29" s="24" t="s">
        <v>43</v>
      </c>
      <c r="B29" s="25">
        <v>6300</v>
      </c>
      <c r="C29" s="20"/>
      <c r="D29" s="25">
        <v>2300</v>
      </c>
      <c r="E29" s="25">
        <v>9700</v>
      </c>
      <c r="F29" s="20"/>
      <c r="G29" s="25">
        <v>4200</v>
      </c>
      <c r="H29" s="25">
        <v>3400</v>
      </c>
      <c r="I29" s="20"/>
      <c r="J29" s="25" t="s">
        <v>22</v>
      </c>
      <c r="K29" s="25" t="s">
        <v>24</v>
      </c>
      <c r="L29" s="20"/>
      <c r="M29" s="25" t="s">
        <v>24</v>
      </c>
      <c r="N29" s="25">
        <v>2000</v>
      </c>
      <c r="O29" s="20"/>
      <c r="P29" s="25" t="s">
        <v>22</v>
      </c>
      <c r="Q29" s="25">
        <v>7400</v>
      </c>
      <c r="R29" s="20"/>
      <c r="S29" s="25" t="s">
        <v>22</v>
      </c>
      <c r="T29" s="25">
        <v>5000</v>
      </c>
      <c r="U29" s="20"/>
      <c r="V29" s="25">
        <v>1800</v>
      </c>
      <c r="W29" s="25">
        <v>7900</v>
      </c>
      <c r="X29" s="20"/>
      <c r="Y29" s="25">
        <v>2800</v>
      </c>
      <c r="Z29" s="25" t="s">
        <v>24</v>
      </c>
      <c r="AA29" s="20"/>
      <c r="AB29" s="25" t="s">
        <v>24</v>
      </c>
      <c r="AC29" s="25">
        <v>6600</v>
      </c>
      <c r="AD29" s="20"/>
      <c r="AE29" s="25">
        <v>2500</v>
      </c>
      <c r="AF29" s="25" t="s">
        <v>24</v>
      </c>
      <c r="AG29" s="20"/>
      <c r="AH29" s="25" t="s">
        <v>24</v>
      </c>
      <c r="AI29" s="25">
        <v>7100</v>
      </c>
      <c r="AJ29" s="20"/>
      <c r="AK29" s="25">
        <v>3400</v>
      </c>
    </row>
    <row r="30" spans="1:37" x14ac:dyDescent="0.35">
      <c r="A30" s="24" t="s">
        <v>44</v>
      </c>
      <c r="B30" s="25" t="s">
        <v>24</v>
      </c>
      <c r="C30" s="20"/>
      <c r="D30" s="25" t="s">
        <v>24</v>
      </c>
      <c r="E30" s="25">
        <v>2700</v>
      </c>
      <c r="F30" s="20"/>
      <c r="G30" s="25" t="s">
        <v>22</v>
      </c>
      <c r="H30" s="25" t="s">
        <v>24</v>
      </c>
      <c r="I30" s="20"/>
      <c r="J30" s="25" t="s">
        <v>24</v>
      </c>
      <c r="K30" s="25" t="s">
        <v>24</v>
      </c>
      <c r="L30" s="20"/>
      <c r="M30" s="25" t="s">
        <v>24</v>
      </c>
      <c r="N30" s="25" t="s">
        <v>24</v>
      </c>
      <c r="O30" s="20"/>
      <c r="P30" s="25" t="s">
        <v>24</v>
      </c>
      <c r="Q30" s="25" t="s">
        <v>24</v>
      </c>
      <c r="R30" s="20"/>
      <c r="S30" s="25" t="s">
        <v>24</v>
      </c>
      <c r="T30" s="25">
        <v>1300</v>
      </c>
      <c r="U30" s="20"/>
      <c r="V30" s="25" t="s">
        <v>22</v>
      </c>
      <c r="W30" s="25">
        <v>1500</v>
      </c>
      <c r="X30" s="20"/>
      <c r="Y30" s="25" t="s">
        <v>22</v>
      </c>
      <c r="Z30" s="25">
        <v>1700</v>
      </c>
      <c r="AA30" s="20"/>
      <c r="AB30" s="25" t="s">
        <v>22</v>
      </c>
      <c r="AC30" s="25">
        <v>2800</v>
      </c>
      <c r="AD30" s="20"/>
      <c r="AE30" s="25">
        <v>1600</v>
      </c>
      <c r="AF30" s="25" t="s">
        <v>24</v>
      </c>
      <c r="AG30" s="20"/>
      <c r="AH30" s="25" t="s">
        <v>24</v>
      </c>
      <c r="AI30" s="25">
        <v>3100</v>
      </c>
      <c r="AJ30" s="20"/>
      <c r="AK30" s="25" t="s">
        <v>22</v>
      </c>
    </row>
    <row r="31" spans="1:37" x14ac:dyDescent="0.35">
      <c r="A31" s="24" t="s">
        <v>45</v>
      </c>
      <c r="B31" s="25">
        <v>1600</v>
      </c>
      <c r="C31" s="20"/>
      <c r="D31" s="25" t="s">
        <v>22</v>
      </c>
      <c r="E31" s="25">
        <v>2600</v>
      </c>
      <c r="F31" s="20"/>
      <c r="G31" s="25" t="s">
        <v>22</v>
      </c>
      <c r="H31" s="25" t="s">
        <v>24</v>
      </c>
      <c r="I31" s="20"/>
      <c r="J31" s="25" t="s">
        <v>24</v>
      </c>
      <c r="K31" s="25">
        <v>1500</v>
      </c>
      <c r="L31" s="20"/>
      <c r="M31" s="25" t="s">
        <v>22</v>
      </c>
      <c r="N31" s="25" t="s">
        <v>24</v>
      </c>
      <c r="O31" s="20"/>
      <c r="P31" s="25" t="s">
        <v>24</v>
      </c>
      <c r="Q31" s="25" t="s">
        <v>24</v>
      </c>
      <c r="R31" s="20"/>
      <c r="S31" s="25" t="s">
        <v>24</v>
      </c>
      <c r="T31" s="25">
        <v>2900</v>
      </c>
      <c r="U31" s="20"/>
      <c r="V31" s="25">
        <v>1400</v>
      </c>
      <c r="W31" s="25">
        <v>900</v>
      </c>
      <c r="X31" s="20"/>
      <c r="Y31" s="25" t="s">
        <v>22</v>
      </c>
      <c r="Z31" s="25">
        <v>1500</v>
      </c>
      <c r="AA31" s="20"/>
      <c r="AB31" s="25" t="s">
        <v>22</v>
      </c>
      <c r="AC31" s="25">
        <v>2400</v>
      </c>
      <c r="AD31" s="20"/>
      <c r="AE31" s="25" t="s">
        <v>22</v>
      </c>
      <c r="AF31" s="25" t="s">
        <v>24</v>
      </c>
      <c r="AG31" s="20"/>
      <c r="AH31" s="25" t="s">
        <v>24</v>
      </c>
      <c r="AI31" s="25">
        <v>7300</v>
      </c>
      <c r="AJ31" s="20"/>
      <c r="AK31" s="25">
        <v>3500</v>
      </c>
    </row>
    <row r="32" spans="1:37" x14ac:dyDescent="0.35">
      <c r="A32" s="24" t="s">
        <v>46</v>
      </c>
      <c r="B32" s="25">
        <v>1900</v>
      </c>
      <c r="C32" s="20"/>
      <c r="D32" s="25">
        <v>1300</v>
      </c>
      <c r="E32" s="25">
        <v>7700</v>
      </c>
      <c r="F32" s="20"/>
      <c r="G32" s="25">
        <v>3800</v>
      </c>
      <c r="H32" s="25" t="s">
        <v>24</v>
      </c>
      <c r="I32" s="20"/>
      <c r="J32" s="25" t="s">
        <v>24</v>
      </c>
      <c r="K32" s="25" t="s">
        <v>24</v>
      </c>
      <c r="L32" s="20"/>
      <c r="M32" s="25" t="s">
        <v>24</v>
      </c>
      <c r="N32" s="25">
        <v>2200</v>
      </c>
      <c r="O32" s="20"/>
      <c r="P32" s="25" t="s">
        <v>22</v>
      </c>
      <c r="Q32" s="25">
        <v>2200</v>
      </c>
      <c r="R32" s="20"/>
      <c r="S32" s="25" t="s">
        <v>22</v>
      </c>
      <c r="T32" s="25">
        <v>2200</v>
      </c>
      <c r="U32" s="20"/>
      <c r="V32" s="25">
        <v>1200</v>
      </c>
      <c r="W32" s="25">
        <v>7800</v>
      </c>
      <c r="X32" s="20"/>
      <c r="Y32" s="25">
        <v>2800</v>
      </c>
      <c r="Z32" s="25" t="s">
        <v>24</v>
      </c>
      <c r="AA32" s="20"/>
      <c r="AB32" s="25" t="s">
        <v>24</v>
      </c>
      <c r="AC32" s="25">
        <v>4400</v>
      </c>
      <c r="AD32" s="20"/>
      <c r="AE32" s="25">
        <v>2100</v>
      </c>
      <c r="AF32" s="25">
        <v>3300</v>
      </c>
      <c r="AG32" s="20"/>
      <c r="AH32" s="25" t="s">
        <v>22</v>
      </c>
      <c r="AI32" s="25">
        <v>8400</v>
      </c>
      <c r="AJ32" s="20"/>
      <c r="AK32" s="25">
        <v>3700</v>
      </c>
    </row>
    <row r="33" spans="1:37" x14ac:dyDescent="0.35">
      <c r="A33" s="24" t="s">
        <v>47</v>
      </c>
      <c r="B33" s="25">
        <v>800</v>
      </c>
      <c r="C33" s="20"/>
      <c r="D33" s="25" t="s">
        <v>22</v>
      </c>
      <c r="E33" s="25" t="s">
        <v>24</v>
      </c>
      <c r="F33" s="20"/>
      <c r="G33" s="25" t="s">
        <v>24</v>
      </c>
      <c r="H33" s="25" t="s">
        <v>24</v>
      </c>
      <c r="I33" s="20"/>
      <c r="J33" s="25" t="s">
        <v>24</v>
      </c>
      <c r="K33" s="25" t="s">
        <v>24</v>
      </c>
      <c r="L33" s="20"/>
      <c r="M33" s="25" t="s">
        <v>24</v>
      </c>
      <c r="N33" s="25" t="s">
        <v>24</v>
      </c>
      <c r="O33" s="20"/>
      <c r="P33" s="25" t="s">
        <v>24</v>
      </c>
      <c r="Q33" s="25" t="s">
        <v>24</v>
      </c>
      <c r="R33" s="20"/>
      <c r="S33" s="25" t="s">
        <v>24</v>
      </c>
      <c r="T33" s="25">
        <v>1200</v>
      </c>
      <c r="U33" s="20"/>
      <c r="V33" s="25" t="s">
        <v>22</v>
      </c>
      <c r="W33" s="25">
        <v>1700</v>
      </c>
      <c r="X33" s="20"/>
      <c r="Y33" s="25" t="s">
        <v>22</v>
      </c>
      <c r="Z33" s="25" t="s">
        <v>24</v>
      </c>
      <c r="AA33" s="20"/>
      <c r="AB33" s="25" t="s">
        <v>24</v>
      </c>
      <c r="AC33" s="25" t="s">
        <v>24</v>
      </c>
      <c r="AD33" s="20"/>
      <c r="AE33" s="25" t="s">
        <v>24</v>
      </c>
      <c r="AF33" s="25">
        <v>1400</v>
      </c>
      <c r="AG33" s="20"/>
      <c r="AH33" s="25" t="s">
        <v>22</v>
      </c>
      <c r="AI33" s="25">
        <v>4500</v>
      </c>
      <c r="AJ33" s="20"/>
      <c r="AK33" s="25" t="s">
        <v>22</v>
      </c>
    </row>
    <row r="34" spans="1:37" x14ac:dyDescent="0.35">
      <c r="A34" s="24" t="s">
        <v>48</v>
      </c>
      <c r="B34" s="25">
        <v>8400</v>
      </c>
      <c r="C34" s="20"/>
      <c r="D34" s="25">
        <v>2700</v>
      </c>
      <c r="E34" s="25">
        <v>15400</v>
      </c>
      <c r="F34" s="20"/>
      <c r="G34" s="25">
        <v>5300</v>
      </c>
      <c r="H34" s="25">
        <v>4300</v>
      </c>
      <c r="I34" s="20"/>
      <c r="J34" s="25" t="s">
        <v>22</v>
      </c>
      <c r="K34" s="25" t="s">
        <v>24</v>
      </c>
      <c r="L34" s="20"/>
      <c r="M34" s="25" t="s">
        <v>24</v>
      </c>
      <c r="N34" s="25">
        <v>4600</v>
      </c>
      <c r="O34" s="20"/>
      <c r="P34" s="25" t="s">
        <v>22</v>
      </c>
      <c r="Q34" s="25">
        <v>3400</v>
      </c>
      <c r="R34" s="20"/>
      <c r="S34" s="25" t="s">
        <v>22</v>
      </c>
      <c r="T34" s="25">
        <v>7700</v>
      </c>
      <c r="U34" s="20"/>
      <c r="V34" s="25">
        <v>2200</v>
      </c>
      <c r="W34" s="25">
        <v>9200</v>
      </c>
      <c r="X34" s="20"/>
      <c r="Y34" s="25">
        <v>3000</v>
      </c>
      <c r="Z34" s="25">
        <v>5700</v>
      </c>
      <c r="AA34" s="20"/>
      <c r="AB34" s="25">
        <v>3100</v>
      </c>
      <c r="AC34" s="25">
        <v>13000</v>
      </c>
      <c r="AD34" s="20"/>
      <c r="AE34" s="25">
        <v>3500</v>
      </c>
      <c r="AF34" s="25" t="s">
        <v>24</v>
      </c>
      <c r="AG34" s="20"/>
      <c r="AH34" s="25" t="s">
        <v>24</v>
      </c>
      <c r="AI34" s="25">
        <v>18000</v>
      </c>
      <c r="AJ34" s="20"/>
      <c r="AK34" s="25">
        <v>5400</v>
      </c>
    </row>
  </sheetData>
  <mergeCells count="12">
    <mergeCell ref="B7:D7"/>
    <mergeCell ref="E7:G7"/>
    <mergeCell ref="H7:J7"/>
    <mergeCell ref="K7:M7"/>
    <mergeCell ref="N7:P7"/>
    <mergeCell ref="AF7:AH7"/>
    <mergeCell ref="AI7:AK7"/>
    <mergeCell ref="Q7:S7"/>
    <mergeCell ref="T7:V7"/>
    <mergeCell ref="W7:Y7"/>
    <mergeCell ref="Z7:AB7"/>
    <mergeCell ref="AC7:AE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BC6A7C8-72F9-4A68-B090-82C9EC542F9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Net-commute</vt:lpstr>
      <vt:lpstr>Data</vt:lpstr>
      <vt:lpstr>Workplace analysis</vt:lpstr>
      <vt:lpstr>Sheet1</vt:lpstr>
      <vt:lpstr>Residence analysis</vt:lpstr>
      <vt:lpstr>Sheet2</vt:lpstr>
      <vt:lpstr>Data1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NPOI</dc:creator>
  <cp:lastModifiedBy>Dooter Ior</cp:lastModifiedBy>
  <dcterms:created xsi:type="dcterms:W3CDTF">2026-03-10T09:51:49Z</dcterms:created>
  <dcterms:modified xsi:type="dcterms:W3CDTF">2026-03-10T12:41:43Z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