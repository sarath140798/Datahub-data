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Environment - Energy consumption\"/>
    </mc:Choice>
  </mc:AlternateContent>
  <xr:revisionPtr revIDLastSave="0" documentId="13_ncr:1_{4E7A1FE4-2FC2-410A-86D9-34C6A1665A94}" xr6:coauthVersionLast="47" xr6:coauthVersionMax="47" xr10:uidLastSave="{00000000-0000-0000-0000-000000000000}"/>
  <bookViews>
    <workbookView xWindow="28680" yWindow="-120" windowWidth="29040" windowHeight="15720" xr2:uid="{013F052B-D2E3-44CD-81A7-ADB88DE68511}"/>
  </bookViews>
  <sheets>
    <sheet name="Metadata" sheetId="4" r:id="rId1"/>
    <sheet name="Analysis_data1" sheetId="1" r:id="rId2"/>
    <sheet name="Analysis_data2" sheetId="3" r:id="rId3"/>
    <sheet name="Analysis_data3"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2" l="1"/>
  <c r="O5" i="2"/>
  <c r="O6" i="2"/>
  <c r="O7" i="2"/>
  <c r="O8" i="2"/>
  <c r="O9" i="2"/>
  <c r="O10" i="2"/>
  <c r="O11" i="2"/>
  <c r="O12" i="2"/>
  <c r="O13" i="2"/>
  <c r="O14" i="2"/>
  <c r="O15" i="2"/>
  <c r="O16" i="2"/>
  <c r="O17" i="2"/>
  <c r="O18" i="2"/>
  <c r="O19" i="2"/>
  <c r="O20" i="2"/>
  <c r="N4" i="2"/>
  <c r="N5" i="2"/>
  <c r="N6" i="2"/>
  <c r="N7" i="2"/>
  <c r="N8" i="2"/>
  <c r="N9" i="2"/>
  <c r="N10" i="2"/>
  <c r="N11" i="2"/>
  <c r="N12" i="2"/>
  <c r="N13" i="2"/>
  <c r="N14" i="2"/>
  <c r="N15" i="2"/>
  <c r="N16" i="2"/>
  <c r="N17" i="2"/>
  <c r="N18" i="2"/>
  <c r="N19" i="2"/>
  <c r="N20" i="2"/>
  <c r="M4" i="2"/>
  <c r="M5" i="2"/>
  <c r="M6" i="2"/>
  <c r="M7" i="2"/>
  <c r="M8" i="2"/>
  <c r="M9" i="2"/>
  <c r="M10" i="2"/>
  <c r="M11" i="2"/>
  <c r="M12" i="2"/>
  <c r="M13" i="2"/>
  <c r="M14" i="2"/>
  <c r="M15" i="2"/>
  <c r="M16" i="2"/>
  <c r="M17" i="2"/>
  <c r="M18" i="2"/>
  <c r="M19" i="2"/>
  <c r="M20" i="2"/>
  <c r="L4" i="2"/>
  <c r="L5" i="2"/>
  <c r="L6" i="2"/>
  <c r="L7" i="2"/>
  <c r="L8" i="2"/>
  <c r="L9" i="2"/>
  <c r="L10" i="2"/>
  <c r="L11" i="2"/>
  <c r="L12" i="2"/>
  <c r="L13" i="2"/>
  <c r="L14" i="2"/>
  <c r="L15" i="2"/>
  <c r="L16" i="2"/>
  <c r="L17" i="2"/>
  <c r="L18" i="2"/>
  <c r="L19" i="2"/>
  <c r="L20" i="2"/>
  <c r="K4" i="2"/>
  <c r="K5" i="2"/>
  <c r="K6" i="2"/>
  <c r="K7" i="2"/>
  <c r="K8" i="2"/>
  <c r="K9" i="2"/>
  <c r="K10" i="2"/>
  <c r="K11" i="2"/>
  <c r="K12" i="2"/>
  <c r="K13" i="2"/>
  <c r="K14" i="2"/>
  <c r="K15" i="2"/>
  <c r="K16" i="2"/>
  <c r="K17" i="2"/>
  <c r="K18" i="2"/>
  <c r="K19" i="2"/>
  <c r="K20" i="2"/>
  <c r="J4" i="2"/>
  <c r="J5" i="2"/>
  <c r="J6" i="2"/>
  <c r="J7" i="2"/>
  <c r="J8" i="2"/>
  <c r="J9" i="2"/>
  <c r="J10" i="2"/>
  <c r="J11" i="2"/>
  <c r="J12" i="2"/>
  <c r="J13" i="2"/>
  <c r="J14" i="2"/>
  <c r="J15" i="2"/>
  <c r="J16" i="2"/>
  <c r="J17" i="2"/>
  <c r="J18" i="2"/>
  <c r="J19" i="2"/>
  <c r="J20" i="2"/>
  <c r="O3" i="2"/>
  <c r="N3" i="2"/>
  <c r="M3" i="2"/>
  <c r="L3" i="2"/>
  <c r="K3" i="2"/>
  <c r="J3" i="2"/>
  <c r="I4" i="2"/>
  <c r="I5" i="2"/>
  <c r="I6" i="2"/>
  <c r="I7" i="2"/>
  <c r="I8" i="2"/>
  <c r="I9" i="2"/>
  <c r="I10" i="2"/>
  <c r="I11" i="2"/>
  <c r="I12" i="2"/>
  <c r="I13" i="2"/>
  <c r="I14" i="2"/>
  <c r="I15" i="2"/>
  <c r="I16" i="2"/>
  <c r="I17" i="2"/>
  <c r="I18" i="2"/>
  <c r="I19" i="2"/>
  <c r="I20" i="2"/>
  <c r="I3" i="2"/>
  <c r="E3" i="3"/>
  <c r="F3" i="3"/>
  <c r="G3" i="3"/>
  <c r="E4" i="3"/>
  <c r="F4" i="3"/>
  <c r="G4" i="3"/>
  <c r="G5" i="3"/>
  <c r="G6" i="3"/>
  <c r="G7" i="3"/>
  <c r="G8" i="3"/>
  <c r="G9" i="3"/>
  <c r="G10" i="3"/>
  <c r="G11" i="3"/>
  <c r="G12" i="3"/>
  <c r="G13" i="3"/>
  <c r="G14" i="3"/>
  <c r="G15" i="3"/>
  <c r="G16" i="3"/>
  <c r="G17" i="3"/>
  <c r="G18" i="3"/>
  <c r="G19" i="3"/>
  <c r="G20" i="3"/>
  <c r="F5" i="3"/>
  <c r="F6" i="3"/>
  <c r="F7" i="3"/>
  <c r="F8" i="3"/>
  <c r="F9" i="3"/>
  <c r="F10" i="3"/>
  <c r="F11" i="3"/>
  <c r="F12" i="3"/>
  <c r="F13" i="3"/>
  <c r="F14" i="3"/>
  <c r="F15" i="3"/>
  <c r="F16" i="3"/>
  <c r="F17" i="3"/>
  <c r="F18" i="3"/>
  <c r="F19" i="3"/>
  <c r="F20" i="3"/>
  <c r="E5" i="3"/>
  <c r="E6" i="3"/>
  <c r="E7" i="3"/>
  <c r="E8" i="3"/>
  <c r="E9" i="3"/>
  <c r="E10" i="3"/>
  <c r="E11" i="3"/>
  <c r="E12" i="3"/>
  <c r="E13" i="3"/>
  <c r="E14" i="3"/>
  <c r="E15" i="3"/>
  <c r="E16" i="3"/>
  <c r="E17" i="3"/>
  <c r="E18" i="3"/>
  <c r="E19" i="3"/>
  <c r="E20" i="3"/>
</calcChain>
</file>

<file path=xl/sharedStrings.xml><?xml version="1.0" encoding="utf-8"?>
<sst xmlns="http://schemas.openxmlformats.org/spreadsheetml/2006/main" count="40" uniqueCount="35">
  <si>
    <t>Year</t>
  </si>
  <si>
    <t>Greater West of England</t>
  </si>
  <si>
    <t>England</t>
  </si>
  <si>
    <t>England excl. London</t>
  </si>
  <si>
    <t>All fuels</t>
  </si>
  <si>
    <t>Coal</t>
  </si>
  <si>
    <t>Manufactured fuels</t>
  </si>
  <si>
    <t>Petroleum</t>
  </si>
  <si>
    <t>Gas</t>
  </si>
  <si>
    <t>Electricity</t>
  </si>
  <si>
    <t>GWE Index (2005 = 100)</t>
  </si>
  <si>
    <t>England excl. London (2005 = 100)</t>
  </si>
  <si>
    <t>England (2005 = 100)</t>
  </si>
  <si>
    <t>All fuels (Index: 2005 = 100)</t>
  </si>
  <si>
    <t>Coal (Index: 2005 = 100)</t>
  </si>
  <si>
    <t>Bioenergy and wastes</t>
  </si>
  <si>
    <t>Manufactured fuels (Index: 2005 = 100)</t>
  </si>
  <si>
    <t>Petroleum (Index: 2005 = 100)</t>
  </si>
  <si>
    <t>Gas (Index: 2005 = 100)</t>
  </si>
  <si>
    <t>Electricity (Index: 2005 = 100)</t>
  </si>
  <si>
    <t>Bioenergy and wastes (Index: 2005 = 100)</t>
  </si>
  <si>
    <t>Dataset</t>
  </si>
  <si>
    <t>Tables used</t>
  </si>
  <si>
    <t>Publication date</t>
  </si>
  <si>
    <t>Link</t>
  </si>
  <si>
    <t>Next update</t>
  </si>
  <si>
    <t>Created date</t>
  </si>
  <si>
    <t>Last updated</t>
  </si>
  <si>
    <t>Geography used for analysis</t>
  </si>
  <si>
    <t>Data information</t>
  </si>
  <si>
    <t>Total final energy consumption at regional and local authority level: 2005 to 2023 from Department for Energy Security and Net Zero</t>
  </si>
  <si>
    <t>Total final energy consumption at regional and local authority level: 2005 to 2023</t>
  </si>
  <si>
    <t>Total final energy consumption at regional and local authority level: 2005 to 2023 - GOV.UK</t>
  </si>
  <si>
    <t>This dataset is based on the Department for Energy Security and Net Zero (DESNZ) Subnational total final energy consumption statistics (2005–2023).
The data provides estimates of energy consumption by local authority, region and country, broken down by fuel type and sector. Values are reported in thousand tonnes of oil equivalent (ktoe).
The dataset has been aggregated to create a custom “Greater West of England” geography by summing selected local authorities.
Figures are revised annually and may change over time due to methodological updates, particularly in residual fuel and road transport consumption. Electricity and gas consumption figures have been revised back to 2015 to align with updated subnational datasets.
Some energy consumption (particularly gas and electricity) may be recorded as “unallocated” where it cannot be assigned to a specific local authority.
Caution should be taken when comparing data across years, as methodological changes mean that some time periods are not fully comparable, particularly before and after 2015.
Transport energy consumption includes road and rail only and excludes transport electricity. Biofuels are partially reported under bioenergy and wastes and may also be included within petroleum for non-transport sectors.</t>
  </si>
  <si>
    <t>Greater West of England area consisting of  Bath and North East Somerset, Bristol, Gloucestershire, North Somerset, South Gloucestershire, Swindon and Wiltshire. England and England excluding London are included for national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</si>
</sst>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2" fillId="0" borderId="0" applyNumberFormat="0" applyFill="0" applyBorder="0" applyAlignment="0" applyProtection="0"/>
    <xf numFmtId="0" fontId="3" fillId="0" borderId="0"/>
    <xf numFmtId="0" fontId="2" fillId="0" borderId="0" applyNumberFormat="0" applyFill="0" applyBorder="0" applyAlignment="0" applyProtection="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2" applyFont="1" applyAlignment="1">
      <alignment horizontal="left" wrapText="1"/>
    </xf>
    <xf numFmtId="0" fontId="3" fillId="0" borderId="0" xfId="2" applyAlignment="1">
      <alignment wrapText="1"/>
    </xf>
    <xf numFmtId="0" fontId="3" fillId="0" borderId="0" xfId="2" applyAlignment="1">
      <alignment horizontal="left" wrapText="1"/>
    </xf>
    <xf numFmtId="14" fontId="3" fillId="0" borderId="0" xfId="2" applyNumberFormat="1" applyAlignment="1">
      <alignment horizontal="left" wrapText="1"/>
    </xf>
    <xf numFmtId="0" fontId="2" fillId="0" borderId="0" xfId="1" applyAlignment="1">
      <alignment wrapText="1"/>
    </xf>
    <xf numFmtId="17" fontId="3" fillId="0" borderId="0" xfId="2" applyNumberFormat="1" applyAlignment="1">
      <alignment horizontal="left" wrapText="1"/>
    </xf>
  </cellXfs>
  <cellStyles count="4">
    <cellStyle name="Hyperlink" xfId="1" builtinId="8"/>
    <cellStyle name="Hyperlink 2" xfId="3" xr:uid="{4AA3A323-CC81-49DE-9238-0D50AB65115B}"/>
    <cellStyle name="Normal" xfId="0" builtinId="0"/>
    <cellStyle name="Normal 2" xfId="2" xr:uid="{36DB825C-D051-42B2-8A16-6BF1F05DAA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total-final-energy-consumption-at-regional-and-local-authority-level-2005-to-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D2F1F-92F4-4A2D-B8E5-88349EE59B51}">
  <dimension ref="A1:B9"/>
  <sheetViews>
    <sheetView tabSelected="1" workbookViewId="0">
      <selection activeCell="K9" sqref="K9"/>
    </sheetView>
  </sheetViews>
  <sheetFormatPr defaultRowHeight="14.5" x14ac:dyDescent="0.35"/>
  <cols>
    <col min="1" max="1" width="25.08984375" bestFit="1" customWidth="1"/>
    <col min="2" max="2" width="81.54296875" customWidth="1"/>
  </cols>
  <sheetData>
    <row r="1" spans="1:2" ht="29" x14ac:dyDescent="0.35">
      <c r="A1" s="5" t="s">
        <v>21</v>
      </c>
      <c r="B1" s="7" t="s">
        <v>30</v>
      </c>
    </row>
    <row r="2" spans="1:2" x14ac:dyDescent="0.35">
      <c r="A2" s="5" t="s">
        <v>22</v>
      </c>
      <c r="B2" s="6" t="s">
        <v>31</v>
      </c>
    </row>
    <row r="3" spans="1:2" x14ac:dyDescent="0.35">
      <c r="A3" s="5" t="s">
        <v>23</v>
      </c>
      <c r="B3" s="8">
        <v>45869</v>
      </c>
    </row>
    <row r="4" spans="1:2" x14ac:dyDescent="0.35">
      <c r="A4" s="5" t="s">
        <v>24</v>
      </c>
      <c r="B4" s="9" t="s">
        <v>32</v>
      </c>
    </row>
    <row r="5" spans="1:2" x14ac:dyDescent="0.35">
      <c r="A5" s="5" t="s">
        <v>25</v>
      </c>
      <c r="B5" s="10">
        <v>46204</v>
      </c>
    </row>
    <row r="6" spans="1:2" x14ac:dyDescent="0.35">
      <c r="A6" s="5" t="s">
        <v>26</v>
      </c>
      <c r="B6" s="8">
        <v>46125</v>
      </c>
    </row>
    <row r="7" spans="1:2" x14ac:dyDescent="0.35">
      <c r="A7" s="5" t="s">
        <v>27</v>
      </c>
      <c r="B7" s="8">
        <v>46125</v>
      </c>
    </row>
    <row r="8" spans="1:2" ht="43.5" x14ac:dyDescent="0.35">
      <c r="A8" s="5" t="s">
        <v>28</v>
      </c>
      <c r="B8" s="6" t="s">
        <v>34</v>
      </c>
    </row>
    <row r="9" spans="1:2" ht="336.5" customHeight="1" x14ac:dyDescent="0.35">
      <c r="A9" s="5" t="s">
        <v>29</v>
      </c>
      <c r="B9" s="7" t="s">
        <v>33</v>
      </c>
    </row>
  </sheetData>
  <hyperlinks>
    <hyperlink ref="B4" r:id="rId1" display="https://www.gov.uk/government/statistics/total-final-energy-consumption-at-regional-and-local-authority-level-2005-to-2023" xr:uid="{3253CD98-CD5A-4396-ACA2-F82A4D39F1B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9A28-25EF-4574-8373-4C298F7D5884}">
  <dimension ref="A1:D20"/>
  <sheetViews>
    <sheetView workbookViewId="0">
      <selection activeCell="C6" sqref="C6:C7"/>
    </sheetView>
  </sheetViews>
  <sheetFormatPr defaultRowHeight="14.5" x14ac:dyDescent="0.35"/>
  <sheetData>
    <row r="1" spans="1:4" ht="43.5" x14ac:dyDescent="0.35">
      <c r="A1" s="1" t="s">
        <v>0</v>
      </c>
      <c r="B1" s="1" t="s">
        <v>1</v>
      </c>
      <c r="C1" s="1" t="s">
        <v>2</v>
      </c>
      <c r="D1" s="1" t="s">
        <v>3</v>
      </c>
    </row>
    <row r="2" spans="1:4" x14ac:dyDescent="0.35">
      <c r="A2" s="2">
        <v>2005</v>
      </c>
      <c r="B2" s="2">
        <v>5321.05</v>
      </c>
      <c r="C2" s="2">
        <v>127755.08</v>
      </c>
      <c r="D2" s="2">
        <v>113073.64</v>
      </c>
    </row>
    <row r="3" spans="1:4" x14ac:dyDescent="0.35">
      <c r="A3" s="2">
        <v>2006</v>
      </c>
      <c r="B3" s="2">
        <v>5321.98</v>
      </c>
      <c r="C3" s="2">
        <v>124812.09</v>
      </c>
      <c r="D3" s="2">
        <v>110265.22</v>
      </c>
    </row>
    <row r="4" spans="1:4" x14ac:dyDescent="0.35">
      <c r="A4" s="2">
        <v>2007</v>
      </c>
      <c r="B4" s="2">
        <v>5272.66</v>
      </c>
      <c r="C4" s="2">
        <v>122692.99</v>
      </c>
      <c r="D4" s="2">
        <v>108428.49</v>
      </c>
    </row>
    <row r="5" spans="1:4" x14ac:dyDescent="0.35">
      <c r="A5" s="2">
        <v>2008</v>
      </c>
      <c r="B5" s="2">
        <v>5109.79</v>
      </c>
      <c r="C5" s="2">
        <v>118122.13</v>
      </c>
      <c r="D5" s="2">
        <v>104368.04</v>
      </c>
    </row>
    <row r="6" spans="1:4" x14ac:dyDescent="0.35">
      <c r="A6" s="2">
        <v>2009</v>
      </c>
      <c r="B6" s="2">
        <v>4790.18</v>
      </c>
      <c r="C6" s="2">
        <v>111922.1</v>
      </c>
      <c r="D6" s="2">
        <v>98837.63</v>
      </c>
    </row>
    <row r="7" spans="1:4" x14ac:dyDescent="0.35">
      <c r="A7" s="2">
        <v>2010</v>
      </c>
      <c r="B7" s="2">
        <v>4820.95</v>
      </c>
      <c r="C7" s="2">
        <v>113086.27</v>
      </c>
      <c r="D7" s="2">
        <v>99809.98</v>
      </c>
    </row>
    <row r="8" spans="1:4" x14ac:dyDescent="0.35">
      <c r="A8" s="2">
        <v>2011</v>
      </c>
      <c r="B8" s="2">
        <v>4642.91</v>
      </c>
      <c r="C8" s="2">
        <v>109108.42</v>
      </c>
      <c r="D8" s="2">
        <v>96412.12</v>
      </c>
    </row>
    <row r="9" spans="1:4" x14ac:dyDescent="0.35">
      <c r="A9" s="2">
        <v>2012</v>
      </c>
      <c r="B9" s="2">
        <v>4649.6899999999996</v>
      </c>
      <c r="C9" s="2">
        <v>108725.21</v>
      </c>
      <c r="D9" s="2">
        <v>95975.44</v>
      </c>
    </row>
    <row r="10" spans="1:4" x14ac:dyDescent="0.35">
      <c r="A10" s="2">
        <v>2013</v>
      </c>
      <c r="B10" s="2">
        <v>4656.41</v>
      </c>
      <c r="C10" s="2">
        <v>107705.62</v>
      </c>
      <c r="D10" s="2">
        <v>95112.38</v>
      </c>
    </row>
    <row r="11" spans="1:4" x14ac:dyDescent="0.35">
      <c r="A11" s="2">
        <v>2014</v>
      </c>
      <c r="B11" s="2">
        <v>4658.59</v>
      </c>
      <c r="C11" s="2">
        <v>108047.52</v>
      </c>
      <c r="D11" s="2">
        <v>95509.03</v>
      </c>
    </row>
    <row r="12" spans="1:4" x14ac:dyDescent="0.35">
      <c r="A12" s="2">
        <v>2015</v>
      </c>
      <c r="B12" s="2">
        <v>4743.2</v>
      </c>
      <c r="C12" s="2">
        <v>107636.48</v>
      </c>
      <c r="D12" s="2">
        <v>95223.96</v>
      </c>
    </row>
    <row r="13" spans="1:4" x14ac:dyDescent="0.35">
      <c r="A13" s="2">
        <v>2016</v>
      </c>
      <c r="B13" s="2">
        <v>4693.25</v>
      </c>
      <c r="C13" s="2">
        <v>106715.24</v>
      </c>
      <c r="D13" s="2">
        <v>94329.35</v>
      </c>
    </row>
    <row r="14" spans="1:4" x14ac:dyDescent="0.35">
      <c r="A14" s="2">
        <v>2017</v>
      </c>
      <c r="B14" s="2">
        <v>4732.24</v>
      </c>
      <c r="C14" s="2">
        <v>108021.62</v>
      </c>
      <c r="D14" s="2">
        <v>95519.97</v>
      </c>
    </row>
    <row r="15" spans="1:4" x14ac:dyDescent="0.35">
      <c r="A15" s="2">
        <v>2018</v>
      </c>
      <c r="B15" s="2">
        <v>4775.7299999999996</v>
      </c>
      <c r="C15" s="2">
        <v>108224.77</v>
      </c>
      <c r="D15" s="2">
        <v>95671.51</v>
      </c>
    </row>
    <row r="16" spans="1:4" x14ac:dyDescent="0.35">
      <c r="A16" s="2">
        <v>2019</v>
      </c>
      <c r="B16" s="2">
        <v>4775.41</v>
      </c>
      <c r="C16" s="2">
        <v>107632.07</v>
      </c>
      <c r="D16" s="2">
        <v>95176.63</v>
      </c>
    </row>
    <row r="17" spans="1:4" x14ac:dyDescent="0.35">
      <c r="A17" s="2">
        <v>2020</v>
      </c>
      <c r="B17" s="2">
        <v>4335.6000000000004</v>
      </c>
      <c r="C17" s="2">
        <v>99735.02</v>
      </c>
      <c r="D17" s="2">
        <v>88130.47</v>
      </c>
    </row>
    <row r="18" spans="1:4" x14ac:dyDescent="0.35">
      <c r="A18" s="2">
        <v>2021</v>
      </c>
      <c r="B18" s="2">
        <v>4534.1099999999997</v>
      </c>
      <c r="C18" s="2">
        <v>101338.59</v>
      </c>
      <c r="D18" s="2">
        <v>89696.05</v>
      </c>
    </row>
    <row r="19" spans="1:4" x14ac:dyDescent="0.35">
      <c r="A19" s="2">
        <v>2022</v>
      </c>
      <c r="B19" s="2">
        <v>4380.3</v>
      </c>
      <c r="C19" s="2">
        <v>98288.27</v>
      </c>
      <c r="D19" s="2">
        <v>87121.36</v>
      </c>
    </row>
    <row r="20" spans="1:4" x14ac:dyDescent="0.35">
      <c r="A20" s="2">
        <v>2023</v>
      </c>
      <c r="B20" s="2">
        <v>4377.71</v>
      </c>
      <c r="C20" s="2">
        <v>97121.76</v>
      </c>
      <c r="D20" s="2">
        <v>86094.51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31FD4-CFBB-4A0D-9EBE-FFEA772401E9}">
  <dimension ref="A1:R20"/>
  <sheetViews>
    <sheetView workbookViewId="0">
      <selection activeCell="E12" sqref="E12"/>
    </sheetView>
  </sheetViews>
  <sheetFormatPr defaultRowHeight="14.5" x14ac:dyDescent="0.35"/>
  <sheetData>
    <row r="1" spans="1:18" ht="72.5" x14ac:dyDescent="0.35">
      <c r="A1" s="1" t="s">
        <v>0</v>
      </c>
      <c r="B1" s="1" t="s">
        <v>1</v>
      </c>
      <c r="C1" s="1" t="s">
        <v>2</v>
      </c>
      <c r="D1" s="1" t="s">
        <v>3</v>
      </c>
      <c r="E1" s="1" t="s">
        <v>10</v>
      </c>
      <c r="F1" s="1" t="s">
        <v>12</v>
      </c>
      <c r="G1" s="1" t="s">
        <v>11</v>
      </c>
      <c r="O1" s="1"/>
      <c r="P1" s="1"/>
      <c r="Q1" s="1"/>
      <c r="R1" s="1"/>
    </row>
    <row r="2" spans="1:18" x14ac:dyDescent="0.35">
      <c r="A2" s="2">
        <v>2005</v>
      </c>
      <c r="B2" s="2">
        <v>5321.05</v>
      </c>
      <c r="C2" s="2">
        <v>127755.08</v>
      </c>
      <c r="D2" s="2">
        <v>113073.64</v>
      </c>
      <c r="E2" s="2">
        <v>100</v>
      </c>
      <c r="F2" s="2">
        <v>100</v>
      </c>
      <c r="G2" s="2">
        <v>100</v>
      </c>
      <c r="O2" s="2"/>
      <c r="P2" s="2"/>
      <c r="Q2" s="2"/>
      <c r="R2" s="2"/>
    </row>
    <row r="3" spans="1:18" x14ac:dyDescent="0.35">
      <c r="A3" s="2">
        <v>2006</v>
      </c>
      <c r="B3" s="2">
        <v>5321.98</v>
      </c>
      <c r="C3" s="2">
        <v>124812.09</v>
      </c>
      <c r="D3" s="2">
        <v>110265.22</v>
      </c>
      <c r="E3">
        <f>B3/$B$2*100</f>
        <v>100.01747775345092</v>
      </c>
      <c r="F3">
        <f>C3/$C$2*100</f>
        <v>97.696381231963542</v>
      </c>
      <c r="G3">
        <f>D3/$D$2*100</f>
        <v>97.516291153269677</v>
      </c>
      <c r="O3" s="2"/>
    </row>
    <row r="4" spans="1:18" x14ac:dyDescent="0.35">
      <c r="A4" s="2">
        <v>2007</v>
      </c>
      <c r="B4" s="2">
        <v>5272.66</v>
      </c>
      <c r="C4" s="2">
        <v>122692.99</v>
      </c>
      <c r="D4" s="2">
        <v>108428.49</v>
      </c>
      <c r="E4">
        <f t="shared" ref="E4:E20" si="0">B4/$B$2*100</f>
        <v>99.090593022053909</v>
      </c>
      <c r="F4">
        <f t="shared" ref="F4:F20" si="1">C4/$C$2*100</f>
        <v>96.037660498510121</v>
      </c>
      <c r="G4">
        <f t="shared" ref="G4:G20" si="2">D4/$D$2*100</f>
        <v>95.891924943779998</v>
      </c>
      <c r="O4" s="2"/>
    </row>
    <row r="5" spans="1:18" x14ac:dyDescent="0.35">
      <c r="A5" s="2">
        <v>2008</v>
      </c>
      <c r="B5" s="2">
        <v>5109.79</v>
      </c>
      <c r="C5" s="2">
        <v>118122.13</v>
      </c>
      <c r="D5" s="2">
        <v>104368.04</v>
      </c>
      <c r="E5">
        <f t="shared" si="0"/>
        <v>96.029730974149828</v>
      </c>
      <c r="F5">
        <f t="shared" si="1"/>
        <v>92.459830168788599</v>
      </c>
      <c r="G5">
        <f t="shared" si="2"/>
        <v>92.300946533604105</v>
      </c>
      <c r="O5" s="2"/>
    </row>
    <row r="6" spans="1:18" x14ac:dyDescent="0.35">
      <c r="A6" s="2">
        <v>2009</v>
      </c>
      <c r="B6" s="2">
        <v>4790.18</v>
      </c>
      <c r="C6" s="2">
        <v>111922.1</v>
      </c>
      <c r="D6" s="2">
        <v>98837.63</v>
      </c>
      <c r="E6">
        <f t="shared" si="0"/>
        <v>90.023209704851496</v>
      </c>
      <c r="F6">
        <f t="shared" si="1"/>
        <v>87.606770705321466</v>
      </c>
      <c r="G6">
        <f t="shared" si="2"/>
        <v>87.409965753291402</v>
      </c>
      <c r="O6" s="2"/>
    </row>
    <row r="7" spans="1:18" x14ac:dyDescent="0.35">
      <c r="A7" s="2">
        <v>2010</v>
      </c>
      <c r="B7" s="2">
        <v>4820.95</v>
      </c>
      <c r="C7" s="2">
        <v>113086.27</v>
      </c>
      <c r="D7" s="2">
        <v>99809.98</v>
      </c>
      <c r="E7">
        <f t="shared" si="0"/>
        <v>90.601479031394177</v>
      </c>
      <c r="F7">
        <f t="shared" si="1"/>
        <v>88.51802214048945</v>
      </c>
      <c r="G7">
        <f t="shared" si="2"/>
        <v>88.26989208094831</v>
      </c>
      <c r="O7" s="2"/>
    </row>
    <row r="8" spans="1:18" x14ac:dyDescent="0.35">
      <c r="A8" s="2">
        <v>2011</v>
      </c>
      <c r="B8" s="2">
        <v>4642.91</v>
      </c>
      <c r="C8" s="2">
        <v>109108.42</v>
      </c>
      <c r="D8" s="2">
        <v>96412.12</v>
      </c>
      <c r="E8">
        <f t="shared" si="0"/>
        <v>87.255522876124076</v>
      </c>
      <c r="F8">
        <f t="shared" si="1"/>
        <v>85.404369047399129</v>
      </c>
      <c r="G8">
        <f t="shared" si="2"/>
        <v>85.264894629729795</v>
      </c>
      <c r="O8" s="2"/>
    </row>
    <row r="9" spans="1:18" x14ac:dyDescent="0.35">
      <c r="A9" s="2">
        <v>2012</v>
      </c>
      <c r="B9" s="2">
        <v>4649.6899999999996</v>
      </c>
      <c r="C9" s="2">
        <v>108725.21</v>
      </c>
      <c r="D9" s="2">
        <v>95975.44</v>
      </c>
      <c r="E9">
        <f t="shared" si="0"/>
        <v>87.382941336766223</v>
      </c>
      <c r="F9">
        <f t="shared" si="1"/>
        <v>85.104412286384232</v>
      </c>
      <c r="G9">
        <f t="shared" si="2"/>
        <v>84.878703825223994</v>
      </c>
      <c r="O9" s="2"/>
    </row>
    <row r="10" spans="1:18" x14ac:dyDescent="0.35">
      <c r="A10" s="2">
        <v>2013</v>
      </c>
      <c r="B10" s="2">
        <v>4656.41</v>
      </c>
      <c r="C10" s="2">
        <v>107705.62</v>
      </c>
      <c r="D10" s="2">
        <v>95112.38</v>
      </c>
      <c r="E10">
        <f t="shared" si="0"/>
        <v>87.509232200411574</v>
      </c>
      <c r="F10">
        <f t="shared" si="1"/>
        <v>84.306330519303017</v>
      </c>
      <c r="G10">
        <f t="shared" si="2"/>
        <v>84.115431324223749</v>
      </c>
      <c r="O10" s="2"/>
    </row>
    <row r="11" spans="1:18" x14ac:dyDescent="0.35">
      <c r="A11" s="2">
        <v>2014</v>
      </c>
      <c r="B11" s="2">
        <v>4658.59</v>
      </c>
      <c r="C11" s="2">
        <v>108047.52</v>
      </c>
      <c r="D11" s="2">
        <v>95509.03</v>
      </c>
      <c r="E11">
        <f t="shared" si="0"/>
        <v>87.550201557963177</v>
      </c>
      <c r="F11">
        <f t="shared" si="1"/>
        <v>84.573951971224943</v>
      </c>
      <c r="G11">
        <f t="shared" si="2"/>
        <v>84.466220420603776</v>
      </c>
      <c r="O11" s="2"/>
    </row>
    <row r="12" spans="1:18" x14ac:dyDescent="0.35">
      <c r="A12" s="2">
        <v>2015</v>
      </c>
      <c r="B12" s="2">
        <v>4743.2</v>
      </c>
      <c r="C12" s="2">
        <v>107636.48</v>
      </c>
      <c r="D12" s="2">
        <v>95223.96</v>
      </c>
      <c r="E12">
        <f t="shared" si="0"/>
        <v>89.140301256330972</v>
      </c>
      <c r="F12">
        <f t="shared" si="1"/>
        <v>84.252211340637089</v>
      </c>
      <c r="G12">
        <f t="shared" si="2"/>
        <v>84.214110379748988</v>
      </c>
      <c r="O12" s="2"/>
    </row>
    <row r="13" spans="1:18" x14ac:dyDescent="0.35">
      <c r="A13" s="2">
        <v>2016</v>
      </c>
      <c r="B13" s="2">
        <v>4693.25</v>
      </c>
      <c r="C13" s="2">
        <v>106715.24</v>
      </c>
      <c r="D13" s="2">
        <v>94329.35</v>
      </c>
      <c r="E13">
        <f t="shared" si="0"/>
        <v>88.201576756467233</v>
      </c>
      <c r="F13">
        <f t="shared" si="1"/>
        <v>83.531112813674412</v>
      </c>
      <c r="G13">
        <f t="shared" si="2"/>
        <v>83.422935708092538</v>
      </c>
      <c r="O13" s="2"/>
    </row>
    <row r="14" spans="1:18" x14ac:dyDescent="0.35">
      <c r="A14" s="2">
        <v>2017</v>
      </c>
      <c r="B14" s="2">
        <v>4732.24</v>
      </c>
      <c r="C14" s="2">
        <v>108021.62</v>
      </c>
      <c r="D14" s="2">
        <v>95519.97</v>
      </c>
      <c r="E14">
        <f t="shared" si="0"/>
        <v>88.934326871576104</v>
      </c>
      <c r="F14">
        <f t="shared" si="1"/>
        <v>84.553678804788035</v>
      </c>
      <c r="G14">
        <f t="shared" si="2"/>
        <v>84.475895531443044</v>
      </c>
      <c r="O14" s="2"/>
    </row>
    <row r="15" spans="1:18" x14ac:dyDescent="0.35">
      <c r="A15" s="2">
        <v>2018</v>
      </c>
      <c r="B15" s="2">
        <v>4775.7299999999996</v>
      </c>
      <c r="C15" s="2">
        <v>108224.77</v>
      </c>
      <c r="D15" s="2">
        <v>95671.51</v>
      </c>
      <c r="E15">
        <f t="shared" si="0"/>
        <v>89.751646761447446</v>
      </c>
      <c r="F15">
        <f t="shared" si="1"/>
        <v>84.712694007940826</v>
      </c>
      <c r="G15">
        <f t="shared" si="2"/>
        <v>84.609914388534762</v>
      </c>
      <c r="O15" s="2"/>
    </row>
    <row r="16" spans="1:18" x14ac:dyDescent="0.35">
      <c r="A16" s="2">
        <v>2019</v>
      </c>
      <c r="B16" s="2">
        <v>4775.41</v>
      </c>
      <c r="C16" s="2">
        <v>107632.07</v>
      </c>
      <c r="D16" s="2">
        <v>95176.63</v>
      </c>
      <c r="E16">
        <f t="shared" si="0"/>
        <v>89.745632910797681</v>
      </c>
      <c r="F16">
        <f t="shared" si="1"/>
        <v>84.248759423108652</v>
      </c>
      <c r="G16">
        <f t="shared" si="2"/>
        <v>84.172252701867563</v>
      </c>
      <c r="O16" s="2"/>
    </row>
    <row r="17" spans="1:15" x14ac:dyDescent="0.35">
      <c r="A17" s="2">
        <v>2020</v>
      </c>
      <c r="B17" s="2">
        <v>4335.6000000000004</v>
      </c>
      <c r="C17" s="2">
        <v>99735.02</v>
      </c>
      <c r="D17" s="2">
        <v>88130.47</v>
      </c>
      <c r="E17">
        <f t="shared" si="0"/>
        <v>81.480158991176552</v>
      </c>
      <c r="F17">
        <f t="shared" si="1"/>
        <v>78.067361391813151</v>
      </c>
      <c r="G17">
        <f t="shared" si="2"/>
        <v>77.94077381784119</v>
      </c>
      <c r="O17" s="2"/>
    </row>
    <row r="18" spans="1:15" x14ac:dyDescent="0.35">
      <c r="A18" s="2">
        <v>2021</v>
      </c>
      <c r="B18" s="2">
        <v>4534.1099999999997</v>
      </c>
      <c r="C18" s="2">
        <v>101338.59</v>
      </c>
      <c r="D18" s="2">
        <v>89696.05</v>
      </c>
      <c r="E18">
        <f t="shared" si="0"/>
        <v>85.21081365519963</v>
      </c>
      <c r="F18">
        <f t="shared" si="1"/>
        <v>79.322552183443506</v>
      </c>
      <c r="G18">
        <f t="shared" si="2"/>
        <v>79.325340547982719</v>
      </c>
      <c r="O18" s="2"/>
    </row>
    <row r="19" spans="1:15" x14ac:dyDescent="0.35">
      <c r="A19" s="2">
        <v>2022</v>
      </c>
      <c r="B19" s="2">
        <v>4380.3</v>
      </c>
      <c r="C19" s="2">
        <v>98288.27</v>
      </c>
      <c r="D19" s="2">
        <v>87121.36</v>
      </c>
      <c r="E19">
        <f t="shared" si="0"/>
        <v>82.320218753817386</v>
      </c>
      <c r="F19">
        <f t="shared" si="1"/>
        <v>76.934921100593428</v>
      </c>
      <c r="G19">
        <f t="shared" si="2"/>
        <v>77.048337702757252</v>
      </c>
      <c r="O19" s="2"/>
    </row>
    <row r="20" spans="1:15" x14ac:dyDescent="0.35">
      <c r="A20" s="2">
        <v>2023</v>
      </c>
      <c r="B20" s="2">
        <v>4377.71</v>
      </c>
      <c r="C20" s="2">
        <v>97121.76</v>
      </c>
      <c r="D20" s="2">
        <v>86094.51</v>
      </c>
      <c r="E20">
        <f t="shared" si="0"/>
        <v>82.271544150120747</v>
      </c>
      <c r="F20">
        <f t="shared" si="1"/>
        <v>76.021838035716456</v>
      </c>
      <c r="G20">
        <f t="shared" si="2"/>
        <v>76.140212696787685</v>
      </c>
      <c r="O2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C2504-9A70-407C-AD81-A60B9A9900CF}">
  <dimension ref="A1:Z20"/>
  <sheetViews>
    <sheetView workbookViewId="0">
      <selection activeCell="E11" sqref="E11"/>
    </sheetView>
  </sheetViews>
  <sheetFormatPr defaultRowHeight="14.5" x14ac:dyDescent="0.35"/>
  <sheetData>
    <row r="1" spans="1:26" ht="87" x14ac:dyDescent="0.35">
      <c r="A1" s="1" t="s">
        <v>0</v>
      </c>
      <c r="B1" s="4" t="s">
        <v>4</v>
      </c>
      <c r="C1" s="4" t="s">
        <v>5</v>
      </c>
      <c r="D1" s="4" t="s">
        <v>6</v>
      </c>
      <c r="E1" s="4" t="s">
        <v>7</v>
      </c>
      <c r="F1" s="4" t="s">
        <v>8</v>
      </c>
      <c r="G1" s="4" t="s">
        <v>9</v>
      </c>
      <c r="H1" s="4" t="s">
        <v>15</v>
      </c>
      <c r="I1" s="4" t="s">
        <v>13</v>
      </c>
      <c r="J1" s="4" t="s">
        <v>14</v>
      </c>
      <c r="K1" s="4" t="s">
        <v>16</v>
      </c>
      <c r="L1" s="4" t="s">
        <v>17</v>
      </c>
      <c r="M1" s="4" t="s">
        <v>18</v>
      </c>
      <c r="N1" s="4" t="s">
        <v>19</v>
      </c>
      <c r="O1" s="4" t="s">
        <v>20</v>
      </c>
      <c r="S1" s="1"/>
      <c r="T1" s="4"/>
      <c r="U1" s="4"/>
      <c r="V1" s="4"/>
      <c r="W1" s="4"/>
      <c r="X1" s="4"/>
      <c r="Y1" s="4"/>
      <c r="Z1" s="4"/>
    </row>
    <row r="2" spans="1:26" x14ac:dyDescent="0.35">
      <c r="A2" s="2">
        <v>2005</v>
      </c>
      <c r="B2" s="3">
        <v>5321.05</v>
      </c>
      <c r="C2" s="3">
        <v>65.41</v>
      </c>
      <c r="D2" s="3">
        <v>41.88</v>
      </c>
      <c r="E2" s="3">
        <v>2298.87</v>
      </c>
      <c r="F2" s="3">
        <v>1794.37</v>
      </c>
      <c r="G2" s="3">
        <v>1055.21</v>
      </c>
      <c r="H2" s="3">
        <v>65.3</v>
      </c>
      <c r="I2" s="3">
        <v>100</v>
      </c>
      <c r="J2" s="3">
        <v>100</v>
      </c>
      <c r="K2" s="3">
        <v>100</v>
      </c>
      <c r="L2" s="3">
        <v>100</v>
      </c>
      <c r="M2" s="3">
        <v>100</v>
      </c>
      <c r="N2" s="3">
        <v>100</v>
      </c>
      <c r="O2" s="3">
        <v>100</v>
      </c>
      <c r="S2" s="2"/>
      <c r="T2" s="3"/>
      <c r="U2" s="3"/>
      <c r="V2" s="3"/>
      <c r="W2" s="3"/>
      <c r="X2" s="3"/>
      <c r="Y2" s="3"/>
      <c r="Z2" s="3"/>
    </row>
    <row r="3" spans="1:26" x14ac:dyDescent="0.35">
      <c r="A3" s="2">
        <v>2006</v>
      </c>
      <c r="B3" s="3">
        <v>5321.98</v>
      </c>
      <c r="C3" s="3">
        <v>84.54</v>
      </c>
      <c r="D3" s="3">
        <v>47.18</v>
      </c>
      <c r="E3" s="3">
        <v>2327.9499999999998</v>
      </c>
      <c r="F3" s="3">
        <v>1728.75</v>
      </c>
      <c r="G3" s="3">
        <v>1055.1400000000001</v>
      </c>
      <c r="H3" s="3">
        <v>78.42</v>
      </c>
      <c r="I3">
        <f>(B3/$B$2)*100</f>
        <v>100.01747775345092</v>
      </c>
      <c r="J3">
        <f>(C3/$C$2)*100</f>
        <v>129.24629261580799</v>
      </c>
      <c r="K3">
        <f>(D3/$D$2)*100</f>
        <v>112.65520534861508</v>
      </c>
      <c r="L3">
        <f>(E3/$E$2)*100</f>
        <v>101.26496931100932</v>
      </c>
      <c r="M3">
        <f>(F3/$F$2)*100</f>
        <v>96.343006180442174</v>
      </c>
      <c r="N3">
        <f>(G3/$G$2)*100</f>
        <v>99.993366249372173</v>
      </c>
      <c r="O3">
        <f>(H3/$H$2)*100</f>
        <v>120.09188361408883</v>
      </c>
      <c r="S3" s="2"/>
    </row>
    <row r="4" spans="1:26" x14ac:dyDescent="0.35">
      <c r="A4" s="2">
        <v>2007</v>
      </c>
      <c r="B4" s="3">
        <v>5272.66</v>
      </c>
      <c r="C4" s="3">
        <v>98.52</v>
      </c>
      <c r="D4" s="3">
        <v>38.770000000000003</v>
      </c>
      <c r="E4" s="3">
        <v>2344.59</v>
      </c>
      <c r="F4" s="3">
        <v>1691.52</v>
      </c>
      <c r="G4" s="3">
        <v>1026.2</v>
      </c>
      <c r="H4" s="3">
        <v>73.05</v>
      </c>
      <c r="I4">
        <f t="shared" ref="I4:I20" si="0">(B4/$B$2)*100</f>
        <v>99.090593022053909</v>
      </c>
      <c r="J4">
        <f t="shared" ref="J4:J20" si="1">(C4/$C$2)*100</f>
        <v>150.61917138052286</v>
      </c>
      <c r="K4">
        <f t="shared" ref="K4:K20" si="2">(D4/$D$2)*100</f>
        <v>92.574021012416424</v>
      </c>
      <c r="L4">
        <f t="shared" ref="L4:L20" si="3">(E4/$E$2)*100</f>
        <v>101.98880319461301</v>
      </c>
      <c r="M4">
        <f t="shared" ref="M4:M20" si="4">(F4/$F$2)*100</f>
        <v>94.268183262091995</v>
      </c>
      <c r="N4">
        <f t="shared" ref="N4:N20" si="5">(G4/$G$2)*100</f>
        <v>97.250784204092071</v>
      </c>
      <c r="O4">
        <f t="shared" ref="O4:O20" si="6">(H4/$H$2)*100</f>
        <v>111.86830015313936</v>
      </c>
      <c r="S4" s="2"/>
    </row>
    <row r="5" spans="1:26" x14ac:dyDescent="0.35">
      <c r="A5" s="2">
        <v>2008</v>
      </c>
      <c r="B5" s="3">
        <v>5109.79</v>
      </c>
      <c r="C5" s="3">
        <v>107.18</v>
      </c>
      <c r="D5" s="3">
        <v>20.98</v>
      </c>
      <c r="E5" s="3">
        <v>2296.48</v>
      </c>
      <c r="F5" s="3">
        <v>1607.12</v>
      </c>
      <c r="G5" s="3">
        <v>986.8</v>
      </c>
      <c r="H5" s="3">
        <v>91.23</v>
      </c>
      <c r="I5">
        <f t="shared" si="0"/>
        <v>96.029730974149828</v>
      </c>
      <c r="J5">
        <f t="shared" si="1"/>
        <v>163.85873719614739</v>
      </c>
      <c r="K5">
        <f t="shared" si="2"/>
        <v>50.095510983763127</v>
      </c>
      <c r="L5">
        <f t="shared" si="3"/>
        <v>99.896035878496832</v>
      </c>
      <c r="M5">
        <f t="shared" si="4"/>
        <v>89.564582555437283</v>
      </c>
      <c r="N5">
        <f t="shared" si="5"/>
        <v>93.516930279280899</v>
      </c>
      <c r="O5">
        <f t="shared" si="6"/>
        <v>139.70903522205208</v>
      </c>
      <c r="S5" s="2"/>
    </row>
    <row r="6" spans="1:26" x14ac:dyDescent="0.35">
      <c r="A6" s="2">
        <v>2009</v>
      </c>
      <c r="B6" s="3">
        <v>4790.18</v>
      </c>
      <c r="C6" s="3">
        <v>54.18</v>
      </c>
      <c r="D6" s="3">
        <v>13.67</v>
      </c>
      <c r="E6" s="3">
        <v>2206.71</v>
      </c>
      <c r="F6" s="3">
        <v>1474.51</v>
      </c>
      <c r="G6" s="3">
        <v>952.87</v>
      </c>
      <c r="H6" s="3">
        <v>88.23</v>
      </c>
      <c r="I6">
        <f t="shared" si="0"/>
        <v>90.023209704851496</v>
      </c>
      <c r="J6">
        <f t="shared" si="1"/>
        <v>82.831371349946494</v>
      </c>
      <c r="K6">
        <f t="shared" si="2"/>
        <v>32.640878701050617</v>
      </c>
      <c r="L6">
        <f t="shared" si="3"/>
        <v>95.991073875425755</v>
      </c>
      <c r="M6">
        <f t="shared" si="4"/>
        <v>82.174244999637764</v>
      </c>
      <c r="N6">
        <f t="shared" si="5"/>
        <v>90.301456582102134</v>
      </c>
      <c r="O6">
        <f t="shared" si="6"/>
        <v>135.11485451761104</v>
      </c>
      <c r="S6" s="2"/>
    </row>
    <row r="7" spans="1:26" x14ac:dyDescent="0.35">
      <c r="A7" s="2">
        <v>2010</v>
      </c>
      <c r="B7" s="3">
        <v>4820.95</v>
      </c>
      <c r="C7" s="3">
        <v>61.79</v>
      </c>
      <c r="D7" s="3">
        <v>16.309999999999999</v>
      </c>
      <c r="E7" s="3">
        <v>2195.4699999999998</v>
      </c>
      <c r="F7" s="3">
        <v>1484.59</v>
      </c>
      <c r="G7" s="3">
        <v>959.04</v>
      </c>
      <c r="H7" s="3">
        <v>103.74</v>
      </c>
      <c r="I7">
        <f t="shared" si="0"/>
        <v>90.601479031394177</v>
      </c>
      <c r="J7">
        <f t="shared" si="1"/>
        <v>94.465678030882131</v>
      </c>
      <c r="K7">
        <f t="shared" si="2"/>
        <v>38.944603629417379</v>
      </c>
      <c r="L7">
        <f t="shared" si="3"/>
        <v>95.502138006933833</v>
      </c>
      <c r="M7">
        <f t="shared" si="4"/>
        <v>82.736002050859085</v>
      </c>
      <c r="N7">
        <f t="shared" si="5"/>
        <v>90.886174316012927</v>
      </c>
      <c r="O7">
        <f t="shared" si="6"/>
        <v>158.86676875957122</v>
      </c>
      <c r="S7" s="2"/>
    </row>
    <row r="8" spans="1:26" x14ac:dyDescent="0.35">
      <c r="A8" s="2">
        <v>2011</v>
      </c>
      <c r="B8" s="3">
        <v>4642.91</v>
      </c>
      <c r="C8" s="3">
        <v>60.41</v>
      </c>
      <c r="D8" s="3">
        <v>14.29</v>
      </c>
      <c r="E8" s="3">
        <v>2133.94</v>
      </c>
      <c r="F8" s="3">
        <v>1399.6</v>
      </c>
      <c r="G8" s="3">
        <v>935.04</v>
      </c>
      <c r="H8" s="3">
        <v>99.63</v>
      </c>
      <c r="I8">
        <f t="shared" si="0"/>
        <v>87.255522876124076</v>
      </c>
      <c r="J8">
        <f t="shared" si="1"/>
        <v>92.35590888243388</v>
      </c>
      <c r="K8">
        <f t="shared" si="2"/>
        <v>34.121298949379174</v>
      </c>
      <c r="L8">
        <f t="shared" si="3"/>
        <v>92.825605623632484</v>
      </c>
      <c r="M8">
        <f t="shared" si="4"/>
        <v>77.999520723150738</v>
      </c>
      <c r="N8">
        <f t="shared" si="5"/>
        <v>88.611745529325916</v>
      </c>
      <c r="O8">
        <f t="shared" si="6"/>
        <v>152.57274119448698</v>
      </c>
      <c r="S8" s="2"/>
    </row>
    <row r="9" spans="1:26" x14ac:dyDescent="0.35">
      <c r="A9" s="2">
        <v>2012</v>
      </c>
      <c r="B9" s="3">
        <v>4649.6899999999996</v>
      </c>
      <c r="C9" s="3">
        <v>61.79</v>
      </c>
      <c r="D9" s="3">
        <v>15.7</v>
      </c>
      <c r="E9" s="3">
        <v>2123.38</v>
      </c>
      <c r="F9" s="3">
        <v>1413.13</v>
      </c>
      <c r="G9" s="3">
        <v>936.88</v>
      </c>
      <c r="H9" s="3">
        <v>98.82</v>
      </c>
      <c r="I9">
        <f t="shared" si="0"/>
        <v>87.382941336766223</v>
      </c>
      <c r="J9">
        <f t="shared" si="1"/>
        <v>94.465678030882131</v>
      </c>
      <c r="K9">
        <f t="shared" si="2"/>
        <v>37.488061127029603</v>
      </c>
      <c r="L9">
        <f t="shared" si="3"/>
        <v>92.366249505191689</v>
      </c>
      <c r="M9">
        <f t="shared" si="4"/>
        <v>78.753545812736519</v>
      </c>
      <c r="N9">
        <f t="shared" si="5"/>
        <v>88.786118402971908</v>
      </c>
      <c r="O9">
        <f t="shared" si="6"/>
        <v>151.3323124042879</v>
      </c>
      <c r="S9" s="2"/>
    </row>
    <row r="10" spans="1:26" x14ac:dyDescent="0.35">
      <c r="A10" s="2">
        <v>2013</v>
      </c>
      <c r="B10" s="3">
        <v>4656.41</v>
      </c>
      <c r="C10" s="3">
        <v>69.849999999999994</v>
      </c>
      <c r="D10" s="3">
        <v>21.74</v>
      </c>
      <c r="E10" s="3">
        <v>2119.08</v>
      </c>
      <c r="F10" s="3">
        <v>1384.25</v>
      </c>
      <c r="G10" s="3">
        <v>935.08</v>
      </c>
      <c r="H10" s="3">
        <v>126.41</v>
      </c>
      <c r="I10">
        <f t="shared" si="0"/>
        <v>87.509232200411574</v>
      </c>
      <c r="J10">
        <f t="shared" si="1"/>
        <v>106.78795291239871</v>
      </c>
      <c r="K10">
        <f t="shared" si="2"/>
        <v>51.910219675262645</v>
      </c>
      <c r="L10">
        <f t="shared" si="3"/>
        <v>92.179201085750833</v>
      </c>
      <c r="M10">
        <f t="shared" si="4"/>
        <v>77.144067277094479</v>
      </c>
      <c r="N10">
        <f t="shared" si="5"/>
        <v>88.615536243970396</v>
      </c>
      <c r="O10">
        <f t="shared" si="6"/>
        <v>193.58346094946401</v>
      </c>
      <c r="S10" s="2"/>
    </row>
    <row r="11" spans="1:26" x14ac:dyDescent="0.35">
      <c r="A11" s="2">
        <v>2014</v>
      </c>
      <c r="B11" s="3">
        <v>4658.59</v>
      </c>
      <c r="C11" s="3">
        <v>61.97</v>
      </c>
      <c r="D11" s="3">
        <v>15.92</v>
      </c>
      <c r="E11" s="3">
        <v>2126</v>
      </c>
      <c r="F11" s="3">
        <v>1371.55</v>
      </c>
      <c r="G11" s="3">
        <v>936.09</v>
      </c>
      <c r="H11" s="3">
        <v>147.07</v>
      </c>
      <c r="I11">
        <f t="shared" si="0"/>
        <v>87.550201557963177</v>
      </c>
      <c r="J11">
        <f t="shared" si="1"/>
        <v>94.740865311114504</v>
      </c>
      <c r="K11">
        <f t="shared" si="2"/>
        <v>38.01337153772684</v>
      </c>
      <c r="L11">
        <f t="shared" si="3"/>
        <v>92.480218542153324</v>
      </c>
      <c r="M11">
        <f t="shared" si="4"/>
        <v>76.436297976448557</v>
      </c>
      <c r="N11">
        <f t="shared" si="5"/>
        <v>88.711251788743468</v>
      </c>
      <c r="O11">
        <f t="shared" si="6"/>
        <v>225.22205206738133</v>
      </c>
      <c r="S11" s="2"/>
    </row>
    <row r="12" spans="1:26" x14ac:dyDescent="0.35">
      <c r="A12" s="2">
        <v>2015</v>
      </c>
      <c r="B12" s="3">
        <v>4743.2</v>
      </c>
      <c r="C12" s="3">
        <v>46.65</v>
      </c>
      <c r="D12" s="3">
        <v>12.57</v>
      </c>
      <c r="E12" s="3">
        <v>2196.46</v>
      </c>
      <c r="F12" s="3">
        <v>1375.33</v>
      </c>
      <c r="G12" s="3">
        <v>934.17</v>
      </c>
      <c r="H12" s="3">
        <v>178.01</v>
      </c>
      <c r="I12">
        <f t="shared" si="0"/>
        <v>89.140301256330972</v>
      </c>
      <c r="J12">
        <f t="shared" si="1"/>
        <v>71.319370126891911</v>
      </c>
      <c r="K12">
        <f t="shared" si="2"/>
        <v>30.01432664756447</v>
      </c>
      <c r="L12">
        <f t="shared" si="3"/>
        <v>95.545202643037669</v>
      </c>
      <c r="M12">
        <f t="shared" si="4"/>
        <v>76.646956870656552</v>
      </c>
      <c r="N12">
        <f t="shared" si="5"/>
        <v>88.529297485808499</v>
      </c>
      <c r="O12">
        <f t="shared" si="6"/>
        <v>272.60336906584996</v>
      </c>
      <c r="S12" s="2"/>
    </row>
    <row r="13" spans="1:26" x14ac:dyDescent="0.35">
      <c r="A13" s="2">
        <v>2016</v>
      </c>
      <c r="B13" s="3">
        <v>4693.25</v>
      </c>
      <c r="C13" s="3">
        <v>44.8</v>
      </c>
      <c r="D13" s="3">
        <v>12</v>
      </c>
      <c r="E13" s="3">
        <v>2210.96</v>
      </c>
      <c r="F13" s="3">
        <v>1372.63</v>
      </c>
      <c r="G13" s="3">
        <v>907.53</v>
      </c>
      <c r="H13" s="3">
        <v>145.33000000000001</v>
      </c>
      <c r="I13">
        <f t="shared" si="0"/>
        <v>88.201576756467233</v>
      </c>
      <c r="J13">
        <f t="shared" si="1"/>
        <v>68.491056413392442</v>
      </c>
      <c r="K13">
        <f t="shared" si="2"/>
        <v>28.653295128939828</v>
      </c>
      <c r="L13">
        <f t="shared" si="3"/>
        <v>96.175947313245217</v>
      </c>
      <c r="M13">
        <f t="shared" si="4"/>
        <v>76.496486231936572</v>
      </c>
      <c r="N13">
        <f t="shared" si="5"/>
        <v>86.00468153258592</v>
      </c>
      <c r="O13">
        <f t="shared" si="6"/>
        <v>222.55742725880557</v>
      </c>
      <c r="S13" s="2"/>
    </row>
    <row r="14" spans="1:26" x14ac:dyDescent="0.35">
      <c r="A14" s="2">
        <v>2017</v>
      </c>
      <c r="B14" s="3">
        <v>4732.24</v>
      </c>
      <c r="C14" s="3">
        <v>39.880000000000003</v>
      </c>
      <c r="D14" s="3">
        <v>13.61</v>
      </c>
      <c r="E14" s="3">
        <v>2185.6</v>
      </c>
      <c r="F14" s="3">
        <v>1443.72</v>
      </c>
      <c r="G14" s="3">
        <v>916.67</v>
      </c>
      <c r="H14" s="3">
        <v>132.76</v>
      </c>
      <c r="I14">
        <f t="shared" si="0"/>
        <v>88.934326871576104</v>
      </c>
      <c r="J14">
        <f t="shared" si="1"/>
        <v>60.969270753707391</v>
      </c>
      <c r="K14">
        <f t="shared" si="2"/>
        <v>32.497612225405916</v>
      </c>
      <c r="L14">
        <f t="shared" si="3"/>
        <v>95.072796634868439</v>
      </c>
      <c r="M14">
        <f t="shared" si="4"/>
        <v>80.458322419567878</v>
      </c>
      <c r="N14">
        <f t="shared" si="5"/>
        <v>86.87085982884922</v>
      </c>
      <c r="O14">
        <f t="shared" si="6"/>
        <v>203.30781010719755</v>
      </c>
      <c r="S14" s="2"/>
    </row>
    <row r="15" spans="1:26" x14ac:dyDescent="0.35">
      <c r="A15" s="2">
        <v>2018</v>
      </c>
      <c r="B15" s="3">
        <v>4775.7299999999996</v>
      </c>
      <c r="C15" s="3">
        <v>37.33</v>
      </c>
      <c r="D15" s="3">
        <v>13.66</v>
      </c>
      <c r="E15" s="3">
        <v>2168.04</v>
      </c>
      <c r="F15" s="3">
        <v>1479.67</v>
      </c>
      <c r="G15" s="3">
        <v>911.62</v>
      </c>
      <c r="H15" s="3">
        <v>165.4</v>
      </c>
      <c r="I15">
        <f t="shared" si="0"/>
        <v>89.751646761447446</v>
      </c>
      <c r="J15">
        <f t="shared" si="1"/>
        <v>57.070784283748665</v>
      </c>
      <c r="K15">
        <f t="shared" si="2"/>
        <v>32.617000955109837</v>
      </c>
      <c r="L15">
        <f t="shared" si="3"/>
        <v>94.308943089430898</v>
      </c>
      <c r="M15">
        <f t="shared" si="4"/>
        <v>82.461811109191544</v>
      </c>
      <c r="N15">
        <f t="shared" si="5"/>
        <v>86.392282104983849</v>
      </c>
      <c r="O15">
        <f t="shared" si="6"/>
        <v>253.29249617151609</v>
      </c>
      <c r="S15" s="2"/>
    </row>
    <row r="16" spans="1:26" x14ac:dyDescent="0.35">
      <c r="A16" s="2">
        <v>2019</v>
      </c>
      <c r="B16" s="3">
        <v>4775.41</v>
      </c>
      <c r="C16" s="3">
        <v>30.84</v>
      </c>
      <c r="D16" s="3">
        <v>13.09</v>
      </c>
      <c r="E16" s="3">
        <v>2156.11</v>
      </c>
      <c r="F16" s="3">
        <v>1494.96</v>
      </c>
      <c r="G16" s="3">
        <v>895.34</v>
      </c>
      <c r="H16" s="3">
        <v>185.07</v>
      </c>
      <c r="I16">
        <f t="shared" si="0"/>
        <v>89.745632910797681</v>
      </c>
      <c r="J16">
        <f t="shared" si="1"/>
        <v>47.148754013147837</v>
      </c>
      <c r="K16">
        <f t="shared" si="2"/>
        <v>31.255969436485191</v>
      </c>
      <c r="L16">
        <f t="shared" si="3"/>
        <v>93.789992474563604</v>
      </c>
      <c r="M16">
        <f t="shared" si="4"/>
        <v>83.313920763276244</v>
      </c>
      <c r="N16">
        <f t="shared" si="5"/>
        <v>84.849461244681152</v>
      </c>
      <c r="O16">
        <f t="shared" si="6"/>
        <v>283.41500765696782</v>
      </c>
      <c r="S16" s="2"/>
    </row>
    <row r="17" spans="1:19" x14ac:dyDescent="0.35">
      <c r="A17" s="2">
        <v>2020</v>
      </c>
      <c r="B17" s="3">
        <v>4335.6000000000004</v>
      </c>
      <c r="C17" s="3">
        <v>27.86</v>
      </c>
      <c r="D17" s="3">
        <v>12.54</v>
      </c>
      <c r="E17" s="3">
        <v>1739.86</v>
      </c>
      <c r="F17" s="3">
        <v>1514.01</v>
      </c>
      <c r="G17" s="3">
        <v>855.3</v>
      </c>
      <c r="H17" s="3">
        <v>186.03</v>
      </c>
      <c r="I17">
        <f t="shared" si="0"/>
        <v>81.480158991176552</v>
      </c>
      <c r="J17">
        <f t="shared" si="1"/>
        <v>42.592875707078434</v>
      </c>
      <c r="K17">
        <f t="shared" si="2"/>
        <v>29.942693409742116</v>
      </c>
      <c r="L17">
        <f t="shared" si="3"/>
        <v>75.68327047636447</v>
      </c>
      <c r="M17">
        <f t="shared" si="4"/>
        <v>84.375574714245118</v>
      </c>
      <c r="N17">
        <f t="shared" si="5"/>
        <v>81.054955885558329</v>
      </c>
      <c r="O17">
        <f t="shared" si="6"/>
        <v>284.88514548238896</v>
      </c>
      <c r="S17" s="2"/>
    </row>
    <row r="18" spans="1:19" x14ac:dyDescent="0.35">
      <c r="A18" s="2">
        <v>2021</v>
      </c>
      <c r="B18" s="3">
        <v>4534.1099999999997</v>
      </c>
      <c r="C18" s="3">
        <v>26.16</v>
      </c>
      <c r="D18" s="3">
        <v>11.54</v>
      </c>
      <c r="E18" s="3">
        <v>2012.96</v>
      </c>
      <c r="F18" s="3">
        <v>1442.4</v>
      </c>
      <c r="G18" s="3">
        <v>847.5</v>
      </c>
      <c r="H18" s="3">
        <v>193.55</v>
      </c>
      <c r="I18">
        <f t="shared" si="0"/>
        <v>85.21081365519963</v>
      </c>
      <c r="J18">
        <f t="shared" si="1"/>
        <v>39.99388472710595</v>
      </c>
      <c r="K18">
        <f t="shared" si="2"/>
        <v>27.554918815663797</v>
      </c>
      <c r="L18">
        <f t="shared" si="3"/>
        <v>87.56302009248023</v>
      </c>
      <c r="M18">
        <f t="shared" si="4"/>
        <v>80.384758996193668</v>
      </c>
      <c r="N18">
        <f t="shared" si="5"/>
        <v>80.315766529885053</v>
      </c>
      <c r="O18">
        <f t="shared" si="6"/>
        <v>296.40122511485453</v>
      </c>
      <c r="S18" s="2"/>
    </row>
    <row r="19" spans="1:19" x14ac:dyDescent="0.35">
      <c r="A19" s="2">
        <v>2022</v>
      </c>
      <c r="B19" s="3">
        <v>4380.3</v>
      </c>
      <c r="C19" s="3">
        <v>22.9</v>
      </c>
      <c r="D19" s="3">
        <v>15.2</v>
      </c>
      <c r="E19" s="3">
        <v>2010.89</v>
      </c>
      <c r="F19" s="3">
        <v>1296.0999999999999</v>
      </c>
      <c r="G19" s="3">
        <v>818.7</v>
      </c>
      <c r="H19" s="3">
        <v>216.51</v>
      </c>
      <c r="I19">
        <f t="shared" si="0"/>
        <v>82.320218753817386</v>
      </c>
      <c r="J19">
        <f t="shared" si="1"/>
        <v>35.009937318452835</v>
      </c>
      <c r="K19">
        <f t="shared" si="2"/>
        <v>36.294173829990442</v>
      </c>
      <c r="L19">
        <f t="shared" si="3"/>
        <v>87.472975853354058</v>
      </c>
      <c r="M19">
        <f t="shared" si="4"/>
        <v>72.231479572217552</v>
      </c>
      <c r="N19">
        <f t="shared" si="5"/>
        <v>77.586451985860634</v>
      </c>
      <c r="O19">
        <f t="shared" si="6"/>
        <v>331.56202143950992</v>
      </c>
      <c r="S19" s="2"/>
    </row>
    <row r="20" spans="1:19" x14ac:dyDescent="0.35">
      <c r="A20" s="2">
        <v>2023</v>
      </c>
      <c r="B20" s="3">
        <v>4377.71</v>
      </c>
      <c r="C20" s="3">
        <v>16.399999999999999</v>
      </c>
      <c r="D20" s="3">
        <v>13.72</v>
      </c>
      <c r="E20" s="3">
        <v>1986.94</v>
      </c>
      <c r="F20" s="3">
        <v>1314.57</v>
      </c>
      <c r="G20" s="3">
        <v>825.84</v>
      </c>
      <c r="H20" s="3">
        <v>220.25</v>
      </c>
      <c r="I20">
        <f t="shared" si="0"/>
        <v>82.271544150120747</v>
      </c>
      <c r="J20">
        <f t="shared" si="1"/>
        <v>25.072618865616874</v>
      </c>
      <c r="K20">
        <f t="shared" si="2"/>
        <v>32.760267430754539</v>
      </c>
      <c r="L20">
        <f t="shared" si="3"/>
        <v>86.431159656700913</v>
      </c>
      <c r="M20">
        <f t="shared" si="4"/>
        <v>73.260810200794708</v>
      </c>
      <c r="N20">
        <f t="shared" si="5"/>
        <v>78.263094549900032</v>
      </c>
      <c r="O20">
        <f t="shared" si="6"/>
        <v>337.28943338437978</v>
      </c>
      <c r="S2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Analysis_data1</vt:lpstr>
      <vt:lpstr>Analysis_data2</vt:lpstr>
      <vt:lpstr>Analysis_data3</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2026-04-13T16:41:51Z</dcterms:created>
  <dcterms:modified xsi:type="dcterms:W3CDTF">2026-04-21T10:38:51Z</dcterms:modified>
</cp:coreProperties>
</file>