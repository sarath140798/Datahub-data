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Phase 2\Environment - Energy consumption\"/>
    </mc:Choice>
  </mc:AlternateContent>
  <xr:revisionPtr revIDLastSave="0" documentId="13_ncr:1_{271D04A5-B1FC-4C8D-A79C-1A3375A581C5}" xr6:coauthVersionLast="47" xr6:coauthVersionMax="47" xr10:uidLastSave="{00000000-0000-0000-0000-000000000000}"/>
  <bookViews>
    <workbookView xWindow="28680" yWindow="-120" windowWidth="29040" windowHeight="15720" activeTab="4" xr2:uid="{0163A2F2-FAA5-4131-880E-594E0DE04F41}"/>
  </bookViews>
  <sheets>
    <sheet name="Metadata" sheetId="4" r:id="rId1"/>
    <sheet name="analysis_data1" sheetId="1" r:id="rId2"/>
    <sheet name="analysis_data2" sheetId="2" r:id="rId3"/>
    <sheet name="analysis_data3" sheetId="3" r:id="rId4"/>
    <sheet name="analysis_data4"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1" l="1"/>
</calcChain>
</file>

<file path=xl/sharedStrings.xml><?xml version="1.0" encoding="utf-8"?>
<sst xmlns="http://schemas.openxmlformats.org/spreadsheetml/2006/main" count="85" uniqueCount="51">
  <si>
    <t>Bath and North East Somerset</t>
  </si>
  <si>
    <t>Bristol, City of</t>
  </si>
  <si>
    <t>North Somerset</t>
  </si>
  <si>
    <t>South Gloucestershire</t>
  </si>
  <si>
    <t>Swindon</t>
  </si>
  <si>
    <t>Wiltshire</t>
  </si>
  <si>
    <t>Cheltenham</t>
  </si>
  <si>
    <t>Cotswold</t>
  </si>
  <si>
    <t>Forest of Dean</t>
  </si>
  <si>
    <t>Gloucester</t>
  </si>
  <si>
    <t>Stroud</t>
  </si>
  <si>
    <t>Tewkesbury</t>
  </si>
  <si>
    <t>Gloucestershire</t>
  </si>
  <si>
    <t>Greater West of England</t>
  </si>
  <si>
    <t>England excl. London</t>
  </si>
  <si>
    <t>Domestic</t>
  </si>
  <si>
    <t>Transport</t>
  </si>
  <si>
    <t>Industrial,
Commercial
and other</t>
  </si>
  <si>
    <t>Local authority</t>
  </si>
  <si>
    <t>Coal</t>
  </si>
  <si>
    <t>Manufactured
fuels</t>
  </si>
  <si>
    <t>Petroleum</t>
  </si>
  <si>
    <t>Gas</t>
  </si>
  <si>
    <t>Electricity</t>
  </si>
  <si>
    <t>Bioenergy 
and wastes</t>
  </si>
  <si>
    <t>Dataset</t>
  </si>
  <si>
    <t>Total final energy consumption at regional and local authority level: 2005 to 2023 from Department for Energy Security and Net Zero</t>
  </si>
  <si>
    <t>Tables used</t>
  </si>
  <si>
    <t>Total final energy consumption at regional and local authority level: 2005 to 2023</t>
  </si>
  <si>
    <t>Publication date</t>
  </si>
  <si>
    <t>Link</t>
  </si>
  <si>
    <t>Total final energy consumption at regional and local authority level: 2005 to 2023 - GOV.UK</t>
  </si>
  <si>
    <t>Next update</t>
  </si>
  <si>
    <t>Created date</t>
  </si>
  <si>
    <t>Last updated</t>
  </si>
  <si>
    <t>Geography used for analysis</t>
  </si>
  <si>
    <t>Data information</t>
  </si>
  <si>
    <t>All Fuels</t>
  </si>
  <si>
    <t>Area</t>
  </si>
  <si>
    <t>`</t>
  </si>
  <si>
    <t>Coal (%)</t>
  </si>
  <si>
    <t>Manufactured
fuels (%)</t>
  </si>
  <si>
    <t>Petroleum (%)</t>
  </si>
  <si>
    <t>Gas (%)</t>
  </si>
  <si>
    <t>Electricity (%)</t>
  </si>
  <si>
    <t>Bioenergy 
and wastes (%)</t>
  </si>
  <si>
    <t>England excl. London (%)</t>
  </si>
  <si>
    <t>Greater West of England (%)</t>
  </si>
  <si>
    <t>toe per person</t>
  </si>
  <si>
    <t>Greater West of England area consisting of Bath and North East Somerset, Bristol, Gloucestershire, North Somerset, South Gloucestershire, Swindon and Wiltshire. England and England excluding London are included as comparator geographies where relevant.</t>
  </si>
  <si>
    <t>This dataset is based on the Department for Energy Security and Net Zero (DESNZ) Subnational total final energy consumption statistics (2005–2023).
The data provides estimates of energy consumption by local authority, region and country, broken down by fuel type and sector. Values are reported in thousand tonnes of oil equivalent (ktoe).
The dataset has been aggregated to create a custom “Greater West of England” geography by summing selected local authorities.
Sector and fuel shares are calculated as a proportion of total final energy consumption within each geography. Energy consumption per person is calculated using ONS mid-year population estimates (all ages) and expressed as tonnes of oil equivalent per person.
Figures are revised annually and may change over time due to methodological updates, particularly in residual fuel and road transport consumption. Electricity and gas consumption figures have been revised back to 2015 to align with updated subnational datasets.
Some energy consumption (particularly gas and electricity) may be recorded as “unallocated” where it cannot be assigned to a specific local authority.
Caution should be taken when comparing data across years, as methodological changes mean that some time periods are not fully comparable, particularly before and after 2015.
Transport energy consumption includes road and rail only and excludes transport electricity. Biofuels are partially reported under bioenergy and wastes and may also be included within petroleum for non-transport sectors.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</si>
</sst>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indexed="8"/>
      <name val="Aptos Narrow"/>
      <family val="2"/>
      <scheme val="minor"/>
    </font>
    <font>
      <sz val="11"/>
      <color theme="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xf numFmtId="0" fontId="3" fillId="0" borderId="0"/>
  </cellStyleXfs>
  <cellXfs count="15">
    <xf numFmtId="0" fontId="0" fillId="0" borderId="0" xfId="0"/>
    <xf numFmtId="164" fontId="0" fillId="0" borderId="0" xfId="0" applyNumberFormat="1"/>
    <xf numFmtId="0" fontId="0" fillId="0" borderId="0" xfId="0" applyAlignment="1"/>
    <xf numFmtId="0" fontId="3" fillId="0" borderId="0" xfId="2" applyAlignment="1">
      <alignment wrapText="1"/>
    </xf>
    <xf numFmtId="0" fontId="3" fillId="0" borderId="0" xfId="2" applyAlignment="1">
      <alignment horizontal="left" wrapText="1"/>
    </xf>
    <xf numFmtId="14" fontId="3" fillId="0" borderId="0" xfId="2" applyNumberFormat="1" applyAlignment="1">
      <alignment horizontal="left" wrapText="1"/>
    </xf>
    <xf numFmtId="0" fontId="2" fillId="0" borderId="0" xfId="1" applyAlignment="1">
      <alignment wrapText="1"/>
    </xf>
    <xf numFmtId="17" fontId="3" fillId="0" borderId="0" xfId="2" applyNumberFormat="1" applyAlignment="1">
      <alignment horizontal="left" wrapText="1"/>
    </xf>
    <xf numFmtId="0" fontId="4" fillId="0" borderId="0" xfId="0" applyFont="1"/>
    <xf numFmtId="0" fontId="0" fillId="0" borderId="0" xfId="0" applyAlignment="1">
      <alignment wrapText="1"/>
    </xf>
    <xf numFmtId="0" fontId="1" fillId="0" borderId="0" xfId="0" applyFont="1" applyAlignment="1">
      <alignment horizontal="center" vertical="center" wrapText="1"/>
    </xf>
    <xf numFmtId="0" fontId="0" fillId="0" borderId="0" xfId="0" applyAlignment="1">
      <alignment vertical="center" wrapText="1"/>
    </xf>
    <xf numFmtId="0" fontId="0" fillId="0" borderId="0" xfId="0" applyFont="1" applyAlignment="1">
      <alignment vertical="center" wrapText="1"/>
    </xf>
    <xf numFmtId="0" fontId="1" fillId="0" borderId="0" xfId="2" applyFont="1" applyAlignment="1">
      <alignment horizontal="left" vertical="top" wrapText="1"/>
    </xf>
    <xf numFmtId="0" fontId="4" fillId="0" borderId="0" xfId="0" applyFont="1" applyAlignment="1">
      <alignment vertical="center" wrapText="1"/>
    </xf>
  </cellXfs>
  <cellStyles count="3">
    <cellStyle name="Hyperlink" xfId="1" builtinId="8"/>
    <cellStyle name="Normal" xfId="0" builtinId="0"/>
    <cellStyle name="Normal 2" xfId="2" xr:uid="{B41A1F47-A282-4049-AD19-6140E8244C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total-final-energy-consumption-at-regional-and-local-authority-level-2005-to-20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206CA-DFCB-4DE2-9D7D-BD8B4E14FF42}">
  <dimension ref="A1:B9"/>
  <sheetViews>
    <sheetView workbookViewId="0">
      <selection activeCell="E9" sqref="E9"/>
    </sheetView>
  </sheetViews>
  <sheetFormatPr defaultRowHeight="14.5" x14ac:dyDescent="0.35"/>
  <cols>
    <col min="1" max="1" width="25.08984375" bestFit="1" customWidth="1"/>
    <col min="2" max="2" width="81.54296875" customWidth="1"/>
  </cols>
  <sheetData>
    <row r="1" spans="1:2" ht="29" x14ac:dyDescent="0.35">
      <c r="A1" s="13" t="s">
        <v>25</v>
      </c>
      <c r="B1" s="4" t="s">
        <v>26</v>
      </c>
    </row>
    <row r="2" spans="1:2" x14ac:dyDescent="0.35">
      <c r="A2" s="13" t="s">
        <v>27</v>
      </c>
      <c r="B2" s="3" t="s">
        <v>28</v>
      </c>
    </row>
    <row r="3" spans="1:2" x14ac:dyDescent="0.35">
      <c r="A3" s="13" t="s">
        <v>29</v>
      </c>
      <c r="B3" s="5">
        <v>45869</v>
      </c>
    </row>
    <row r="4" spans="1:2" x14ac:dyDescent="0.35">
      <c r="A4" s="13" t="s">
        <v>30</v>
      </c>
      <c r="B4" s="6" t="s">
        <v>31</v>
      </c>
    </row>
    <row r="5" spans="1:2" x14ac:dyDescent="0.35">
      <c r="A5" s="13" t="s">
        <v>32</v>
      </c>
      <c r="B5" s="7">
        <v>46204</v>
      </c>
    </row>
    <row r="6" spans="1:2" x14ac:dyDescent="0.35">
      <c r="A6" s="13" t="s">
        <v>33</v>
      </c>
      <c r="B6" s="5">
        <v>46125</v>
      </c>
    </row>
    <row r="7" spans="1:2" x14ac:dyDescent="0.35">
      <c r="A7" s="13" t="s">
        <v>34</v>
      </c>
      <c r="B7" s="5">
        <v>46125</v>
      </c>
    </row>
    <row r="8" spans="1:2" ht="43.5" x14ac:dyDescent="0.35">
      <c r="A8" s="13" t="s">
        <v>35</v>
      </c>
      <c r="B8" s="3" t="s">
        <v>49</v>
      </c>
    </row>
    <row r="9" spans="1:2" ht="390.5" customHeight="1" x14ac:dyDescent="0.35">
      <c r="A9" s="13" t="s">
        <v>36</v>
      </c>
      <c r="B9" s="4" t="s">
        <v>50</v>
      </c>
    </row>
  </sheetData>
  <hyperlinks>
    <hyperlink ref="B4" r:id="rId1" display="https://www.gov.uk/government/statistics/total-final-energy-consumption-at-regional-and-local-authority-level-2005-to-2023" xr:uid="{3C71B1AE-B375-44FF-AC44-7CC22B19D3C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E8C9C-C2D5-40F9-88BA-1EF87DC9A53C}">
  <dimension ref="A1:B16"/>
  <sheetViews>
    <sheetView workbookViewId="0">
      <selection activeCell="A16" sqref="A16:XFD16"/>
    </sheetView>
  </sheetViews>
  <sheetFormatPr defaultRowHeight="14.5" x14ac:dyDescent="0.35"/>
  <cols>
    <col min="1" max="1" width="31.26953125" bestFit="1" customWidth="1"/>
  </cols>
  <sheetData>
    <row r="1" spans="1:2" x14ac:dyDescent="0.35">
      <c r="A1" t="s">
        <v>38</v>
      </c>
      <c r="B1" t="s">
        <v>37</v>
      </c>
    </row>
    <row r="2" spans="1:2" x14ac:dyDescent="0.35">
      <c r="A2" t="s">
        <v>0</v>
      </c>
      <c r="B2">
        <v>249.64474778996899</v>
      </c>
    </row>
    <row r="3" spans="1:2" x14ac:dyDescent="0.35">
      <c r="A3" t="s">
        <v>1</v>
      </c>
      <c r="B3">
        <v>575.10881853828903</v>
      </c>
    </row>
    <row r="4" spans="1:2" x14ac:dyDescent="0.35">
      <c r="A4" t="s">
        <v>2</v>
      </c>
      <c r="B4">
        <v>440.51531448857401</v>
      </c>
    </row>
    <row r="5" spans="1:2" x14ac:dyDescent="0.35">
      <c r="A5" t="s">
        <v>3</v>
      </c>
      <c r="B5">
        <v>584.61074352282606</v>
      </c>
    </row>
    <row r="6" spans="1:2" x14ac:dyDescent="0.35">
      <c r="A6" t="s">
        <v>4</v>
      </c>
      <c r="B6">
        <v>355.06538877485201</v>
      </c>
    </row>
    <row r="7" spans="1:2" x14ac:dyDescent="0.35">
      <c r="A7" t="s">
        <v>5</v>
      </c>
      <c r="B7">
        <v>963.26445097829196</v>
      </c>
    </row>
    <row r="8" spans="1:2" x14ac:dyDescent="0.35">
      <c r="A8" t="s">
        <v>6</v>
      </c>
      <c r="B8">
        <v>145.26951248179901</v>
      </c>
    </row>
    <row r="9" spans="1:2" x14ac:dyDescent="0.35">
      <c r="A9" t="s">
        <v>7</v>
      </c>
      <c r="B9">
        <v>216.80386808187899</v>
      </c>
    </row>
    <row r="10" spans="1:2" x14ac:dyDescent="0.35">
      <c r="A10" t="s">
        <v>8</v>
      </c>
      <c r="B10">
        <v>166.56859007310601</v>
      </c>
    </row>
    <row r="11" spans="1:2" x14ac:dyDescent="0.35">
      <c r="A11" t="s">
        <v>9</v>
      </c>
      <c r="B11">
        <v>170.52370784642699</v>
      </c>
    </row>
    <row r="12" spans="1:2" x14ac:dyDescent="0.35">
      <c r="A12" t="s">
        <v>10</v>
      </c>
      <c r="B12">
        <v>270.72388270078602</v>
      </c>
    </row>
    <row r="13" spans="1:2" x14ac:dyDescent="0.35">
      <c r="A13" t="s">
        <v>11</v>
      </c>
      <c r="B13">
        <v>239.61442716564</v>
      </c>
    </row>
    <row r="14" spans="1:2" x14ac:dyDescent="0.35">
      <c r="A14" t="s">
        <v>12</v>
      </c>
      <c r="B14">
        <v>1209.503988349637</v>
      </c>
    </row>
    <row r="15" spans="1:2" x14ac:dyDescent="0.35">
      <c r="A15" t="s">
        <v>13</v>
      </c>
      <c r="B15">
        <f>SUM(B14,B2,B3,B4,B5,B6,B7)</f>
        <v>4377.7134524424391</v>
      </c>
    </row>
    <row r="16" spans="1:2" x14ac:dyDescent="0.35">
      <c r="A16" s="8"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4B128-DA19-4268-B95A-E27ACD31F520}">
  <dimension ref="A1:E4"/>
  <sheetViews>
    <sheetView workbookViewId="0">
      <selection activeCell="E2" sqref="E2"/>
    </sheetView>
  </sheetViews>
  <sheetFormatPr defaultRowHeight="14.5" x14ac:dyDescent="0.35"/>
  <sheetData>
    <row r="1" spans="1:5" x14ac:dyDescent="0.35">
      <c r="B1" t="s">
        <v>14</v>
      </c>
      <c r="C1" t="s">
        <v>13</v>
      </c>
      <c r="D1" t="s">
        <v>46</v>
      </c>
      <c r="E1" t="s">
        <v>47</v>
      </c>
    </row>
    <row r="2" spans="1:5" x14ac:dyDescent="0.35">
      <c r="A2" t="s">
        <v>15</v>
      </c>
      <c r="B2">
        <v>26450.64251681956</v>
      </c>
      <c r="C2">
        <v>1348.3150060447015</v>
      </c>
      <c r="D2">
        <v>30.722798873930412</v>
      </c>
      <c r="E2">
        <v>30.799526298196646</v>
      </c>
    </row>
    <row r="3" spans="1:5" x14ac:dyDescent="0.35">
      <c r="A3" t="s">
        <v>16</v>
      </c>
      <c r="B3">
        <v>30774.129182340868</v>
      </c>
      <c r="C3">
        <v>1803.7296016030189</v>
      </c>
      <c r="D3">
        <v>35.744590354967855</v>
      </c>
      <c r="E3">
        <v>41.202550628266252</v>
      </c>
    </row>
    <row r="4" spans="1:5" x14ac:dyDescent="0.35">
      <c r="A4" s="2" t="s">
        <v>17</v>
      </c>
      <c r="B4">
        <v>28869.736243812324</v>
      </c>
      <c r="C4">
        <v>1225.6688447947197</v>
      </c>
      <c r="D4">
        <v>33.532610771101737</v>
      </c>
      <c r="E4">
        <v>27.997923073537105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52A97-23E6-420B-A8E3-CFCFB7F5E8DB}">
  <dimension ref="A1:M17"/>
  <sheetViews>
    <sheetView workbookViewId="0">
      <selection activeCell="D15" sqref="D15"/>
    </sheetView>
  </sheetViews>
  <sheetFormatPr defaultRowHeight="14.5" x14ac:dyDescent="0.35"/>
  <cols>
    <col min="15" max="15" width="14.08984375" customWidth="1"/>
    <col min="16" max="16" width="12.54296875" customWidth="1"/>
    <col min="17" max="17" width="16" customWidth="1"/>
  </cols>
  <sheetData>
    <row r="1" spans="1:13" ht="58" x14ac:dyDescent="0.35">
      <c r="A1" s="2" t="s">
        <v>18</v>
      </c>
      <c r="B1" s="2" t="s">
        <v>19</v>
      </c>
      <c r="C1" s="2" t="s">
        <v>20</v>
      </c>
      <c r="D1" s="2" t="s">
        <v>21</v>
      </c>
      <c r="E1" s="2" t="s">
        <v>22</v>
      </c>
      <c r="F1" s="2" t="s">
        <v>23</v>
      </c>
      <c r="G1" s="2" t="s">
        <v>24</v>
      </c>
      <c r="H1" s="2" t="s">
        <v>40</v>
      </c>
      <c r="I1" s="9" t="s">
        <v>41</v>
      </c>
      <c r="J1" s="2" t="s">
        <v>42</v>
      </c>
      <c r="K1" s="2" t="s">
        <v>43</v>
      </c>
      <c r="L1" s="2" t="s">
        <v>44</v>
      </c>
      <c r="M1" s="9" t="s">
        <v>45</v>
      </c>
    </row>
    <row r="2" spans="1:13" x14ac:dyDescent="0.35">
      <c r="A2" t="s">
        <v>0</v>
      </c>
      <c r="B2">
        <v>0.66552983339918803</v>
      </c>
      <c r="C2">
        <v>0.77746210913162295</v>
      </c>
      <c r="D2">
        <v>93.874973435603394</v>
      </c>
      <c r="E2">
        <v>92.489432468561901</v>
      </c>
      <c r="F2">
        <v>51.2701085386662</v>
      </c>
      <c r="G2">
        <v>10.567244028646501</v>
      </c>
      <c r="H2">
        <v>0.26659075838585783</v>
      </c>
      <c r="I2">
        <v>0.31142738144594917</v>
      </c>
      <c r="J2">
        <v>37.603423777156095</v>
      </c>
      <c r="K2">
        <v>37.048418729085306</v>
      </c>
      <c r="L2">
        <v>20.537226780711499</v>
      </c>
      <c r="M2">
        <v>4.2329125732152866</v>
      </c>
    </row>
    <row r="3" spans="1:13" x14ac:dyDescent="0.35">
      <c r="A3" t="s">
        <v>1</v>
      </c>
      <c r="B3">
        <v>1.6267193267478699</v>
      </c>
      <c r="C3">
        <v>1.72949335120263</v>
      </c>
      <c r="D3">
        <v>191.394708719714</v>
      </c>
      <c r="E3">
        <v>217.73493759404599</v>
      </c>
      <c r="F3">
        <v>139.432951385157</v>
      </c>
      <c r="G3">
        <v>23.1900029133431</v>
      </c>
      <c r="H3">
        <v>0.282854181531556</v>
      </c>
      <c r="I3">
        <v>0.30072454311874636</v>
      </c>
      <c r="J3">
        <v>33.27973842458448</v>
      </c>
      <c r="K3">
        <v>37.859781064452733</v>
      </c>
      <c r="L3">
        <v>24.244620872258572</v>
      </c>
      <c r="M3">
        <v>4.03228091405391</v>
      </c>
    </row>
    <row r="4" spans="1:13" x14ac:dyDescent="0.35">
      <c r="A4" t="s">
        <v>2</v>
      </c>
      <c r="B4">
        <v>1.25753368556018</v>
      </c>
      <c r="C4">
        <v>0.97323924444991405</v>
      </c>
      <c r="D4">
        <v>194.488399934922</v>
      </c>
      <c r="E4">
        <v>162.99232227066301</v>
      </c>
      <c r="F4">
        <v>60.075455827130803</v>
      </c>
      <c r="G4">
        <v>20.728363525848099</v>
      </c>
      <c r="H4">
        <v>0.28546877808780419</v>
      </c>
      <c r="I4">
        <v>0.22093198861424776</v>
      </c>
      <c r="J4">
        <v>44.150201715624263</v>
      </c>
      <c r="K4">
        <v>37.000375902911017</v>
      </c>
      <c r="L4">
        <v>13.637540818955801</v>
      </c>
      <c r="M4">
        <v>4.7054807958068725</v>
      </c>
    </row>
    <row r="5" spans="1:13" x14ac:dyDescent="0.35">
      <c r="A5" t="s">
        <v>3</v>
      </c>
      <c r="B5">
        <v>1.91500089126597</v>
      </c>
      <c r="C5">
        <v>1.17986541328052</v>
      </c>
      <c r="D5">
        <v>316.36643373143102</v>
      </c>
      <c r="E5">
        <v>138.41144433845699</v>
      </c>
      <c r="F5">
        <v>93.917319247769797</v>
      </c>
      <c r="G5">
        <v>32.8206799006228</v>
      </c>
      <c r="H5">
        <v>0.32756854239904937</v>
      </c>
      <c r="I5">
        <v>0.20182068604670619</v>
      </c>
      <c r="J5">
        <v>54.115740642230925</v>
      </c>
      <c r="K5">
        <v>23.675829750305034</v>
      </c>
      <c r="L5">
        <v>16.06493214302392</v>
      </c>
      <c r="M5">
        <v>5.6141082359943422</v>
      </c>
    </row>
    <row r="6" spans="1:13" x14ac:dyDescent="0.35">
      <c r="A6" t="s">
        <v>4</v>
      </c>
      <c r="B6">
        <v>1.0572793217109999</v>
      </c>
      <c r="C6">
        <v>1.0273246009144801</v>
      </c>
      <c r="D6">
        <v>149.667986111012</v>
      </c>
      <c r="E6">
        <v>109.943219986028</v>
      </c>
      <c r="F6">
        <v>76.436871490084897</v>
      </c>
      <c r="G6">
        <v>16.932715137219802</v>
      </c>
      <c r="H6">
        <v>0.29777030701817947</v>
      </c>
      <c r="I6">
        <v>0.28933391161626348</v>
      </c>
      <c r="J6">
        <v>42.152230976149426</v>
      </c>
      <c r="K6">
        <v>30.964217021502915</v>
      </c>
      <c r="L6">
        <v>21.527547379133527</v>
      </c>
      <c r="M6">
        <v>4.7689004045796786</v>
      </c>
    </row>
    <row r="7" spans="1:13" x14ac:dyDescent="0.35">
      <c r="A7" t="s">
        <v>5</v>
      </c>
      <c r="B7">
        <v>4.4356606407501999</v>
      </c>
      <c r="C7">
        <v>2.85969040815929</v>
      </c>
      <c r="D7">
        <v>486.398142987732</v>
      </c>
      <c r="E7">
        <v>232.63081151252101</v>
      </c>
      <c r="F7">
        <v>182.46079475225699</v>
      </c>
      <c r="G7">
        <v>54.479345428793899</v>
      </c>
      <c r="H7">
        <v>0.46048213036532226</v>
      </c>
      <c r="I7">
        <v>0.29687490499989017</v>
      </c>
      <c r="J7">
        <v>50.494767573302511</v>
      </c>
      <c r="K7">
        <v>24.15025412218683</v>
      </c>
      <c r="L7">
        <v>18.941921458955182</v>
      </c>
      <c r="M7">
        <v>5.6556998101902556</v>
      </c>
    </row>
    <row r="8" spans="1:13" x14ac:dyDescent="0.35">
      <c r="A8" t="s">
        <v>6</v>
      </c>
      <c r="B8">
        <v>0.67567551437694195</v>
      </c>
      <c r="C8">
        <v>0.38292992944528997</v>
      </c>
      <c r="D8">
        <v>34.635980963291402</v>
      </c>
      <c r="E8">
        <v>65.564626101676694</v>
      </c>
      <c r="F8">
        <v>39.150520777353798</v>
      </c>
      <c r="G8">
        <v>4.8597831317141296</v>
      </c>
      <c r="H8">
        <v>0.46511858168055403</v>
      </c>
      <c r="I8">
        <v>0.26359964491367693</v>
      </c>
      <c r="J8">
        <v>23.842566436074083</v>
      </c>
      <c r="K8">
        <v>45.133093107492925</v>
      </c>
      <c r="L8">
        <v>26.950265783731176</v>
      </c>
      <c r="M8">
        <v>3.3453564461075795</v>
      </c>
    </row>
    <row r="9" spans="1:13" x14ac:dyDescent="0.35">
      <c r="A9" t="s">
        <v>7</v>
      </c>
      <c r="B9">
        <v>1.2850893491146</v>
      </c>
      <c r="C9">
        <v>0.58458013659072205</v>
      </c>
      <c r="D9">
        <v>127.024643894745</v>
      </c>
      <c r="E9">
        <v>39.760200585769603</v>
      </c>
      <c r="F9">
        <v>35.503103398907697</v>
      </c>
      <c r="G9">
        <v>12.6462507167517</v>
      </c>
      <c r="H9">
        <v>0.59274281426993092</v>
      </c>
      <c r="I9">
        <v>0.26963547364844359</v>
      </c>
      <c r="J9">
        <v>58.589657564030261</v>
      </c>
      <c r="K9">
        <v>18.339248712460034</v>
      </c>
      <c r="L9">
        <v>16.375678032413795</v>
      </c>
      <c r="M9">
        <v>5.8330374031775341</v>
      </c>
    </row>
    <row r="10" spans="1:13" x14ac:dyDescent="0.35">
      <c r="A10" t="s">
        <v>8</v>
      </c>
      <c r="B10">
        <v>0.86219621979871697</v>
      </c>
      <c r="C10">
        <v>1.44076880804654</v>
      </c>
      <c r="D10">
        <v>76.8410176750521</v>
      </c>
      <c r="E10">
        <v>46.936680669940301</v>
      </c>
      <c r="F10">
        <v>31.1923026218562</v>
      </c>
      <c r="G10">
        <v>9.2956240784121604</v>
      </c>
      <c r="H10">
        <v>0.51762233168948835</v>
      </c>
      <c r="I10">
        <v>0.86497028486234684</v>
      </c>
      <c r="J10">
        <v>46.131757278684418</v>
      </c>
      <c r="K10">
        <v>28.178590362888983</v>
      </c>
      <c r="L10">
        <v>18.726401303010416</v>
      </c>
      <c r="M10">
        <v>5.5806584388643525</v>
      </c>
    </row>
    <row r="11" spans="1:13" x14ac:dyDescent="0.35">
      <c r="A11" t="s">
        <v>9</v>
      </c>
      <c r="B11">
        <v>0.560918850979232</v>
      </c>
      <c r="C11">
        <v>1.27251705532144</v>
      </c>
      <c r="D11">
        <v>43.461370054339604</v>
      </c>
      <c r="E11">
        <v>78.052046456833096</v>
      </c>
      <c r="F11">
        <v>41.005441103121001</v>
      </c>
      <c r="G11">
        <v>6.1714143258327496</v>
      </c>
      <c r="H11">
        <v>0.32893892471795944</v>
      </c>
      <c r="I11">
        <v>0.74624055000461464</v>
      </c>
      <c r="J11">
        <v>25.486995681257831</v>
      </c>
      <c r="K11">
        <v>45.771961824291559</v>
      </c>
      <c r="L11">
        <v>24.046768405980423</v>
      </c>
      <c r="M11">
        <v>3.6190946137476065</v>
      </c>
    </row>
    <row r="12" spans="1:13" x14ac:dyDescent="0.35">
      <c r="A12" t="s">
        <v>10</v>
      </c>
      <c r="B12">
        <v>0.96937875888247105</v>
      </c>
      <c r="C12">
        <v>0.98117555649971799</v>
      </c>
      <c r="D12">
        <v>141.37672734751999</v>
      </c>
      <c r="E12">
        <v>72.698318599527099</v>
      </c>
      <c r="F12">
        <v>39.829283670833803</v>
      </c>
      <c r="G12">
        <v>14.8689961434839</v>
      </c>
      <c r="H12">
        <v>0.35806917313968162</v>
      </c>
      <c r="I12">
        <v>0.36242667481773921</v>
      </c>
      <c r="J12">
        <v>52.221742429017112</v>
      </c>
      <c r="K12">
        <v>26.853308462821229</v>
      </c>
      <c r="L12">
        <v>14.712142740988595</v>
      </c>
      <c r="M12">
        <v>5.4923105192156365</v>
      </c>
    </row>
    <row r="13" spans="1:13" x14ac:dyDescent="0.35">
      <c r="A13" t="s">
        <v>11</v>
      </c>
      <c r="B13">
        <v>1.0894071594296599</v>
      </c>
      <c r="C13">
        <v>0.51063287566873194</v>
      </c>
      <c r="D13">
        <v>131.41195835142801</v>
      </c>
      <c r="E13">
        <v>57.354316481822302</v>
      </c>
      <c r="F13">
        <v>35.562530019010602</v>
      </c>
      <c r="G13">
        <v>13.6855835903003</v>
      </c>
      <c r="H13">
        <v>0.45465006692250609</v>
      </c>
      <c r="I13">
        <v>0.21310606331719323</v>
      </c>
      <c r="J13">
        <v>54.84309070464851</v>
      </c>
      <c r="K13">
        <v>23.936086339295596</v>
      </c>
      <c r="L13">
        <v>14.841564527207202</v>
      </c>
      <c r="M13">
        <v>5.7115022986089805</v>
      </c>
    </row>
    <row r="14" spans="1:13" x14ac:dyDescent="0.35">
      <c r="A14" t="s">
        <v>12</v>
      </c>
      <c r="B14">
        <v>5.4426658525816221</v>
      </c>
      <c r="C14">
        <v>5.1726043615724429</v>
      </c>
      <c r="D14">
        <v>554.75169828637615</v>
      </c>
      <c r="E14">
        <v>360.36618889556911</v>
      </c>
      <c r="F14">
        <v>222.2431815910831</v>
      </c>
      <c r="G14">
        <v>61.527651986494931</v>
      </c>
      <c r="H14">
        <v>0.44999155796089235</v>
      </c>
      <c r="I14">
        <v>0.42766327355467276</v>
      </c>
      <c r="J14">
        <v>45.866049424093987</v>
      </c>
      <c r="K14">
        <v>29.794543183397547</v>
      </c>
      <c r="L14">
        <v>18.374737350984052</v>
      </c>
      <c r="M14">
        <v>5.0870152100088415</v>
      </c>
    </row>
    <row r="15" spans="1:13" x14ac:dyDescent="0.35">
      <c r="A15" t="s">
        <v>13</v>
      </c>
      <c r="B15">
        <v>16.40038955201603</v>
      </c>
      <c r="C15">
        <v>13.719679488710897</v>
      </c>
      <c r="D15">
        <v>1986.9423432067904</v>
      </c>
      <c r="E15">
        <v>1314.5683570658457</v>
      </c>
      <c r="F15">
        <v>825.83668283214888</v>
      </c>
      <c r="G15">
        <v>220.24600292096918</v>
      </c>
      <c r="H15">
        <v>0.37463369223116438</v>
      </c>
      <c r="I15">
        <v>0.31339829866737012</v>
      </c>
      <c r="J15">
        <v>45.387674721086022</v>
      </c>
      <c r="K15">
        <v>30.028652413155317</v>
      </c>
      <c r="L15">
        <v>18.864566886541631</v>
      </c>
      <c r="M15">
        <v>5.0310739883185089</v>
      </c>
    </row>
    <row r="16" spans="1:13" x14ac:dyDescent="0.35">
      <c r="A16" t="s">
        <v>14</v>
      </c>
      <c r="B16" s="1">
        <v>612.7177575514828</v>
      </c>
      <c r="C16" s="1">
        <v>1226.154708826989</v>
      </c>
      <c r="D16" s="1">
        <v>36658.304230742564</v>
      </c>
      <c r="E16" s="1">
        <v>27727.158009995721</v>
      </c>
      <c r="F16" s="1">
        <v>15200.764372178601</v>
      </c>
      <c r="G16" s="1">
        <v>4669.4109209241597</v>
      </c>
      <c r="H16">
        <v>0.71168040511516995</v>
      </c>
      <c r="I16">
        <v>1.4241961639875325</v>
      </c>
      <c r="J16">
        <v>42.579142654565423</v>
      </c>
      <c r="K16">
        <v>32.205489072328795</v>
      </c>
      <c r="L16">
        <v>17.655904391743263</v>
      </c>
      <c r="M16">
        <v>5.4235873122598104</v>
      </c>
    </row>
    <row r="17" spans="1:1" x14ac:dyDescent="0.35">
      <c r="A17" s="8" t="s">
        <v>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A14C0-25A6-4694-8659-63932BD4E80B}">
  <dimension ref="A1:B17"/>
  <sheetViews>
    <sheetView tabSelected="1" workbookViewId="0">
      <selection activeCell="B12" sqref="B12"/>
    </sheetView>
  </sheetViews>
  <sheetFormatPr defaultRowHeight="14.5" x14ac:dyDescent="0.35"/>
  <cols>
    <col min="1" max="1" width="28.08984375" customWidth="1"/>
    <col min="2" max="2" width="15.6328125" customWidth="1"/>
  </cols>
  <sheetData>
    <row r="1" spans="1:2" x14ac:dyDescent="0.35">
      <c r="A1" s="10" t="s">
        <v>38</v>
      </c>
      <c r="B1" s="10" t="s">
        <v>48</v>
      </c>
    </row>
    <row r="2" spans="1:2" x14ac:dyDescent="0.35">
      <c r="A2" s="11" t="s">
        <v>0</v>
      </c>
      <c r="B2" s="12">
        <v>1.26</v>
      </c>
    </row>
    <row r="3" spans="1:2" x14ac:dyDescent="0.35">
      <c r="A3" s="11" t="s">
        <v>1</v>
      </c>
      <c r="B3" s="12">
        <v>1.18</v>
      </c>
    </row>
    <row r="4" spans="1:2" x14ac:dyDescent="0.35">
      <c r="A4" s="11" t="s">
        <v>2</v>
      </c>
      <c r="B4" s="12">
        <v>1.99</v>
      </c>
    </row>
    <row r="5" spans="1:2" x14ac:dyDescent="0.35">
      <c r="A5" s="11" t="s">
        <v>3</v>
      </c>
      <c r="B5" s="12">
        <v>1.95</v>
      </c>
    </row>
    <row r="6" spans="1:2" x14ac:dyDescent="0.35">
      <c r="A6" s="11" t="s">
        <v>4</v>
      </c>
      <c r="B6" s="12">
        <v>1.48</v>
      </c>
    </row>
    <row r="7" spans="1:2" x14ac:dyDescent="0.35">
      <c r="A7" s="11" t="s">
        <v>5</v>
      </c>
      <c r="B7" s="12">
        <v>1.85</v>
      </c>
    </row>
    <row r="8" spans="1:2" x14ac:dyDescent="0.35">
      <c r="A8" s="11" t="s">
        <v>6</v>
      </c>
      <c r="B8" s="12">
        <v>1.2</v>
      </c>
    </row>
    <row r="9" spans="1:2" x14ac:dyDescent="0.35">
      <c r="A9" s="11" t="s">
        <v>7</v>
      </c>
      <c r="B9" s="12">
        <v>2.37</v>
      </c>
    </row>
    <row r="10" spans="1:2" x14ac:dyDescent="0.35">
      <c r="A10" s="11" t="s">
        <v>8</v>
      </c>
      <c r="B10" s="12">
        <v>1.87</v>
      </c>
    </row>
    <row r="11" spans="1:2" x14ac:dyDescent="0.35">
      <c r="A11" s="11" t="s">
        <v>9</v>
      </c>
      <c r="B11" s="12">
        <v>1.25</v>
      </c>
    </row>
    <row r="12" spans="1:2" x14ac:dyDescent="0.35">
      <c r="A12" s="11" t="s">
        <v>10</v>
      </c>
      <c r="B12" s="12">
        <v>2.1800000000000002</v>
      </c>
    </row>
    <row r="13" spans="1:2" x14ac:dyDescent="0.35">
      <c r="A13" s="11" t="s">
        <v>11</v>
      </c>
      <c r="B13" s="12">
        <v>2.41</v>
      </c>
    </row>
    <row r="14" spans="1:2" x14ac:dyDescent="0.35">
      <c r="A14" s="11" t="s">
        <v>12</v>
      </c>
      <c r="B14" s="12">
        <v>1.83</v>
      </c>
    </row>
    <row r="15" spans="1:2" x14ac:dyDescent="0.35">
      <c r="A15" s="11" t="s">
        <v>13</v>
      </c>
      <c r="B15" s="12">
        <v>1.67</v>
      </c>
    </row>
    <row r="16" spans="1:2" x14ac:dyDescent="0.35">
      <c r="A16" s="11" t="s">
        <v>14</v>
      </c>
      <c r="B16" s="12">
        <v>1.76</v>
      </c>
    </row>
    <row r="17" spans="1:1" x14ac:dyDescent="0.35">
      <c r="A17" s="14"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Metadata</vt:lpstr>
      <vt:lpstr>analysis_data1</vt:lpstr>
      <vt:lpstr>analysis_data2</vt:lpstr>
      <vt:lpstr>analysis_data3</vt:lpstr>
      <vt:lpstr>analysis_data4</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2026-04-13T14:02:07Z</dcterms:created>
  <dcterms:modified xsi:type="dcterms:W3CDTF">2026-04-21T12:10:57Z</dcterms:modified>
</cp:coreProperties>
</file>