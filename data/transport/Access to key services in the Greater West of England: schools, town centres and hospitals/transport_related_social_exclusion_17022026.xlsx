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Transport - access to services\"/>
    </mc:Choice>
  </mc:AlternateContent>
  <xr:revisionPtr revIDLastSave="0" documentId="13_ncr:1_{9A55D40F-2BA1-43E6-ACC3-34B4A103C95D}" xr6:coauthVersionLast="47" xr6:coauthVersionMax="47" xr10:uidLastSave="{00000000-0000-0000-0000-000000000000}"/>
  <bookViews>
    <workbookView xWindow="-110" yWindow="-110" windowWidth="19420" windowHeight="11500" activeTab="1" xr2:uid="{F3838E48-33B6-3E4D-ABD2-7FEC8AC3400F}"/>
  </bookViews>
  <sheets>
    <sheet name="Metadata" sheetId="2" r:id="rId1"/>
    <sheet name="Analysi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C9" i="1"/>
  <c r="D9" i="1"/>
  <c r="E9" i="1"/>
  <c r="E3" i="1"/>
  <c r="E4" i="1"/>
  <c r="E5" i="1"/>
  <c r="E6" i="1"/>
  <c r="E7" i="1"/>
  <c r="E8" i="1"/>
  <c r="E2" i="1"/>
</calcChain>
</file>

<file path=xl/sharedStrings.xml><?xml version="1.0" encoding="utf-8"?>
<sst xmlns="http://schemas.openxmlformats.org/spreadsheetml/2006/main" count="41" uniqueCount="35">
  <si>
    <t>geography</t>
  </si>
  <si>
    <t>geography_type</t>
  </si>
  <si>
    <t>Bath and North East Somerset</t>
  </si>
  <si>
    <t>LA</t>
  </si>
  <si>
    <t>Bristol, City of</t>
  </si>
  <si>
    <t>Gloucestershire</t>
  </si>
  <si>
    <t>North Somerset</t>
  </si>
  <si>
    <t>South Gloucestershire</t>
  </si>
  <si>
    <t>Swindon</t>
  </si>
  <si>
    <t>Wiltshire</t>
  </si>
  <si>
    <t>RG</t>
  </si>
  <si>
    <t>Publisher</t>
  </si>
  <si>
    <t>Next ONS update</t>
  </si>
  <si>
    <t>ONS link</t>
  </si>
  <si>
    <t>Created date</t>
  </si>
  <si>
    <t>Last updated</t>
  </si>
  <si>
    <t>Geography used for analysis</t>
  </si>
  <si>
    <t xml:space="preserve">Aggregation method  </t>
  </si>
  <si>
    <t>Data information:</t>
  </si>
  <si>
    <t>The Greater West of England Area (Bristol, Bath &amp; North East Somerset, South Gloucestershire, North Somerset, Swindon, Wiltshire) and individual local authorities, England  (+excluding London)</t>
  </si>
  <si>
    <t>The Greater West of England</t>
  </si>
  <si>
    <t>Transport for the North (TfN)</t>
  </si>
  <si>
    <t>Transport related social exclusion in England</t>
  </si>
  <si>
    <t>Dataset</t>
  </si>
  <si>
    <t>Publication date</t>
  </si>
  <si>
    <t>Manual</t>
  </si>
  <si>
    <t>percent_at_risk_of_TRSE</t>
  </si>
  <si>
    <t>CA</t>
  </si>
  <si>
    <t>number_at_risk_of_TRSE</t>
  </si>
  <si>
    <t>total_population_estimate</t>
  </si>
  <si>
    <t>NA</t>
  </si>
  <si>
    <t>https://trse.transportforthenorth.com/combined-authority</t>
  </si>
  <si>
    <t>Link to data</t>
  </si>
  <si>
    <t>West of England combined authority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</si>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</sst>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09]dd\ mmmm\ yyyy;@"/>
  </numFmts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 wrapText="1"/>
    </xf>
    <xf numFmtId="164" fontId="0" fillId="0" borderId="0" xfId="0" applyNumberFormat="1"/>
    <xf numFmtId="14" fontId="0" fillId="0" borderId="0" xfId="0" applyNumberFormat="1"/>
    <xf numFmtId="3" fontId="2" fillId="0" borderId="0" xfId="0" applyNumberFormat="1" applyFont="1" applyAlignment="1">
      <alignment horizontal="right"/>
    </xf>
    <xf numFmtId="0" fontId="3" fillId="0" borderId="0" xfId="1"/>
    <xf numFmtId="0" fontId="4" fillId="0" borderId="0" xfId="0" applyFont="1"/>
    <xf numFmtId="3" fontId="0" fillId="0" borderId="0" xfId="0" applyNumberForma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4F89D-D895-144E-9321-FCBFF913ABF8}">
  <dimension ref="A1:D12"/>
  <sheetViews>
    <sheetView zoomScale="125" workbookViewId="0">
      <selection activeCell="A7" sqref="A7"/>
    </sheetView>
  </sheetViews>
  <sheetFormatPr defaultColWidth="10.6640625" defaultRowHeight="16" x14ac:dyDescent="0.4"/>
  <cols>
    <col min="1" max="1" width="19.5" customWidth="1"/>
    <col min="2" max="2" width="54.5" customWidth="1"/>
  </cols>
  <sheetData>
    <row r="1" spans="1:4" x14ac:dyDescent="0.4">
      <c r="A1" s="1" t="s">
        <v>11</v>
      </c>
      <c r="B1" t="s">
        <v>21</v>
      </c>
    </row>
    <row r="2" spans="1:4" x14ac:dyDescent="0.4">
      <c r="A2" s="1" t="s">
        <v>23</v>
      </c>
      <c r="B2" t="s">
        <v>22</v>
      </c>
    </row>
    <row r="3" spans="1:4" x14ac:dyDescent="0.4">
      <c r="A3" s="1"/>
    </row>
    <row r="4" spans="1:4" x14ac:dyDescent="0.4">
      <c r="A4" s="1" t="s">
        <v>24</v>
      </c>
      <c r="B4" s="2">
        <v>44805</v>
      </c>
    </row>
    <row r="5" spans="1:4" x14ac:dyDescent="0.4">
      <c r="A5" s="1" t="s">
        <v>12</v>
      </c>
      <c r="B5" t="s">
        <v>30</v>
      </c>
    </row>
    <row r="6" spans="1:4" x14ac:dyDescent="0.4">
      <c r="A6" s="1" t="s">
        <v>32</v>
      </c>
      <c r="B6" s="5" t="s">
        <v>31</v>
      </c>
      <c r="C6" s="5"/>
    </row>
    <row r="7" spans="1:4" x14ac:dyDescent="0.4">
      <c r="A7" s="1" t="s">
        <v>13</v>
      </c>
      <c r="B7" s="5"/>
      <c r="D7" s="5"/>
    </row>
    <row r="8" spans="1:4" x14ac:dyDescent="0.4">
      <c r="A8" s="1" t="s">
        <v>14</v>
      </c>
      <c r="B8" s="3">
        <v>46070</v>
      </c>
    </row>
    <row r="9" spans="1:4" x14ac:dyDescent="0.4">
      <c r="A9" s="1" t="s">
        <v>15</v>
      </c>
      <c r="B9" s="3">
        <v>46070</v>
      </c>
    </row>
    <row r="10" spans="1:4" ht="29.5" x14ac:dyDescent="0.4">
      <c r="A10" s="1" t="s">
        <v>16</v>
      </c>
      <c r="B10" t="s">
        <v>19</v>
      </c>
    </row>
    <row r="11" spans="1:4" x14ac:dyDescent="0.4">
      <c r="A11" s="1" t="s">
        <v>17</v>
      </c>
      <c r="B11" t="s">
        <v>25</v>
      </c>
    </row>
    <row r="12" spans="1:4" x14ac:dyDescent="0.4">
      <c r="A12" s="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F1B92-E1FB-E74A-B3FF-5116134587D5}">
  <dimension ref="A1:U24"/>
  <sheetViews>
    <sheetView tabSelected="1" zoomScale="140" workbookViewId="0">
      <selection activeCell="A11" sqref="A11"/>
    </sheetView>
  </sheetViews>
  <sheetFormatPr defaultColWidth="10.6640625" defaultRowHeight="16" x14ac:dyDescent="0.4"/>
  <cols>
    <col min="1" max="1" width="30.83203125" bestFit="1" customWidth="1"/>
    <col min="2" max="2" width="13.83203125" bestFit="1" customWidth="1"/>
    <col min="3" max="3" width="21" bestFit="1" customWidth="1"/>
    <col min="4" max="4" width="25.6640625" bestFit="1" customWidth="1"/>
    <col min="5" max="5" width="22.83203125" bestFit="1" customWidth="1"/>
    <col min="6" max="6" width="14.6640625" bestFit="1" customWidth="1"/>
    <col min="7" max="7" width="15.83203125" bestFit="1" customWidth="1"/>
    <col min="8" max="9" width="16.83203125" bestFit="1" customWidth="1"/>
    <col min="14" max="14" width="29.1640625" bestFit="1" customWidth="1"/>
    <col min="16" max="16" width="21.83203125" bestFit="1" customWidth="1"/>
    <col min="22" max="22" width="22" bestFit="1" customWidth="1"/>
    <col min="23" max="23" width="29.6640625" bestFit="1" customWidth="1"/>
    <col min="24" max="24" width="36.1640625" bestFit="1" customWidth="1"/>
  </cols>
  <sheetData>
    <row r="1" spans="1:21" x14ac:dyDescent="0.4">
      <c r="A1" t="s">
        <v>0</v>
      </c>
      <c r="B1" t="s">
        <v>1</v>
      </c>
      <c r="C1" t="s">
        <v>26</v>
      </c>
      <c r="D1" t="s">
        <v>28</v>
      </c>
      <c r="E1" t="s">
        <v>29</v>
      </c>
      <c r="J1" s="6"/>
      <c r="K1" s="6"/>
      <c r="T1" s="6"/>
      <c r="U1" s="6"/>
    </row>
    <row r="2" spans="1:21" x14ac:dyDescent="0.4">
      <c r="A2" t="s">
        <v>2</v>
      </c>
      <c r="B2" t="s">
        <v>3</v>
      </c>
      <c r="C2">
        <v>18.13</v>
      </c>
      <c r="D2" s="4">
        <v>35060</v>
      </c>
      <c r="E2" s="4">
        <f>100*D2/C2</f>
        <v>193381.13623827911</v>
      </c>
      <c r="F2" s="4"/>
      <c r="G2" s="4"/>
      <c r="H2" s="4"/>
      <c r="I2" s="4"/>
      <c r="J2" s="4"/>
      <c r="K2" s="4"/>
      <c r="L2" s="4"/>
      <c r="M2" s="4"/>
      <c r="N2" s="4"/>
    </row>
    <row r="3" spans="1:21" x14ac:dyDescent="0.4">
      <c r="A3" t="s">
        <v>4</v>
      </c>
      <c r="B3" t="s">
        <v>3</v>
      </c>
      <c r="C3">
        <v>9.52</v>
      </c>
      <c r="D3" s="4">
        <v>44991</v>
      </c>
      <c r="E3" s="4">
        <f t="shared" ref="E3:E8" si="0">100*D3/C3</f>
        <v>472594.53781512607</v>
      </c>
      <c r="F3" s="4"/>
      <c r="G3" s="4"/>
      <c r="H3" s="4"/>
      <c r="I3" s="4"/>
      <c r="J3" s="4"/>
      <c r="K3" s="4"/>
      <c r="L3" s="4"/>
      <c r="M3" s="4"/>
      <c r="N3" s="4"/>
    </row>
    <row r="4" spans="1:21" x14ac:dyDescent="0.4">
      <c r="A4" t="s">
        <v>5</v>
      </c>
      <c r="B4" t="s">
        <v>3</v>
      </c>
      <c r="C4">
        <v>34.03</v>
      </c>
      <c r="D4" s="4">
        <v>45077</v>
      </c>
      <c r="E4" s="4">
        <f t="shared" si="0"/>
        <v>132462.53305906552</v>
      </c>
      <c r="F4" s="4"/>
      <c r="G4" s="4"/>
      <c r="H4" s="4"/>
      <c r="I4" s="4"/>
      <c r="J4" s="4"/>
      <c r="K4" s="4"/>
      <c r="L4" s="4"/>
      <c r="M4" s="4"/>
      <c r="N4" s="4"/>
    </row>
    <row r="5" spans="1:21" x14ac:dyDescent="0.4">
      <c r="A5" t="s">
        <v>6</v>
      </c>
      <c r="B5" t="s">
        <v>3</v>
      </c>
      <c r="C5">
        <v>34.11</v>
      </c>
      <c r="D5" s="4">
        <v>73937</v>
      </c>
      <c r="E5" s="4">
        <f t="shared" si="0"/>
        <v>216760.48079742011</v>
      </c>
      <c r="F5" s="4"/>
      <c r="G5" s="4"/>
      <c r="H5" s="4"/>
      <c r="I5" s="4"/>
      <c r="J5" s="4"/>
      <c r="K5" s="4"/>
      <c r="L5" s="4"/>
      <c r="M5" s="4"/>
      <c r="N5" s="4"/>
    </row>
    <row r="6" spans="1:21" x14ac:dyDescent="0.4">
      <c r="A6" t="s">
        <v>7</v>
      </c>
      <c r="B6" t="s">
        <v>3</v>
      </c>
      <c r="C6">
        <v>22.23</v>
      </c>
      <c r="D6" s="4">
        <v>64558</v>
      </c>
      <c r="E6" s="4">
        <f t="shared" si="0"/>
        <v>290409.35672514618</v>
      </c>
      <c r="F6" s="4"/>
      <c r="G6" s="4"/>
      <c r="H6" s="4"/>
      <c r="I6" s="4"/>
      <c r="J6" s="4"/>
      <c r="K6" s="4"/>
      <c r="L6" s="4"/>
      <c r="M6" s="4"/>
      <c r="N6" s="4"/>
    </row>
    <row r="7" spans="1:21" x14ac:dyDescent="0.4">
      <c r="A7" t="s">
        <v>8</v>
      </c>
      <c r="B7" t="s">
        <v>3</v>
      </c>
      <c r="C7">
        <v>32.47</v>
      </c>
      <c r="D7" s="4">
        <v>75798</v>
      </c>
      <c r="E7" s="4">
        <f t="shared" si="0"/>
        <v>233440.09855251003</v>
      </c>
      <c r="F7" s="4"/>
      <c r="G7" s="4"/>
      <c r="H7" s="4"/>
      <c r="I7" s="4"/>
      <c r="J7" s="4"/>
      <c r="K7" s="4"/>
      <c r="L7" s="4"/>
      <c r="M7" s="4"/>
      <c r="N7" s="4"/>
    </row>
    <row r="8" spans="1:21" x14ac:dyDescent="0.4">
      <c r="A8" t="s">
        <v>9</v>
      </c>
      <c r="B8" t="s">
        <v>3</v>
      </c>
      <c r="C8">
        <v>33.49</v>
      </c>
      <c r="D8" s="4">
        <v>170958</v>
      </c>
      <c r="E8" s="4">
        <f t="shared" si="0"/>
        <v>510474.76858763804</v>
      </c>
      <c r="F8" s="4"/>
      <c r="G8" s="4"/>
      <c r="H8" s="4"/>
      <c r="I8" s="4"/>
      <c r="J8" s="4"/>
      <c r="K8" s="4"/>
      <c r="L8" s="4"/>
      <c r="M8" s="4"/>
      <c r="N8" s="4"/>
    </row>
    <row r="9" spans="1:21" x14ac:dyDescent="0.4">
      <c r="A9" t="s">
        <v>20</v>
      </c>
      <c r="B9" t="s">
        <v>10</v>
      </c>
      <c r="C9">
        <f>100*D9/E9</f>
        <v>24.902332004570638</v>
      </c>
      <c r="D9" s="4">
        <f>SUM(D2:D8)</f>
        <v>510379</v>
      </c>
      <c r="E9" s="4">
        <f>SUM(E2:E8)</f>
        <v>2049522.9117751853</v>
      </c>
      <c r="F9" s="4"/>
      <c r="G9" s="4"/>
      <c r="H9" s="4"/>
      <c r="I9" s="4"/>
      <c r="J9" s="4"/>
      <c r="K9" s="4"/>
      <c r="L9" s="4"/>
      <c r="M9" s="4"/>
      <c r="N9" s="4"/>
    </row>
    <row r="10" spans="1:21" x14ac:dyDescent="0.4">
      <c r="A10" t="s">
        <v>33</v>
      </c>
      <c r="B10" t="s">
        <v>27</v>
      </c>
      <c r="C10">
        <v>15.12</v>
      </c>
      <c r="D10" s="4">
        <v>144609</v>
      </c>
      <c r="E10" s="4">
        <f>100*D10/C10</f>
        <v>956408.73015873018</v>
      </c>
      <c r="F10" s="4"/>
      <c r="G10" s="4"/>
      <c r="H10" s="4"/>
      <c r="I10" s="4"/>
      <c r="J10" s="4"/>
      <c r="K10" s="4"/>
      <c r="L10" s="4"/>
      <c r="M10" s="4"/>
      <c r="N10" s="4"/>
    </row>
    <row r="11" spans="1:21" x14ac:dyDescent="0.4">
      <c r="A11" s="8" t="s">
        <v>34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spans="1:21" x14ac:dyDescent="0.4"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21" x14ac:dyDescent="0.4"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21" x14ac:dyDescent="0.4"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21" x14ac:dyDescent="0.4"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21" x14ac:dyDescent="0.4"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4:14" x14ac:dyDescent="0.4"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4:14" x14ac:dyDescent="0.4"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4:14" x14ac:dyDescent="0.4"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</row>
    <row r="20" spans="4:14" x14ac:dyDescent="0.4"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</row>
    <row r="21" spans="4:14" x14ac:dyDescent="0.4"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</row>
    <row r="24" spans="4:14" x14ac:dyDescent="0.4">
      <c r="D2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Ashby</dc:creator>
  <cp:lastModifiedBy>Sarath Kizhakkoott</cp:lastModifiedBy>
  <dcterms:created xsi:type="dcterms:W3CDTF">2026-01-16T16:30:10Z</dcterms:created>
  <dcterms:modified xsi:type="dcterms:W3CDTF">2026-03-13T16:27:04Z</dcterms:modified>
</cp:coreProperties>
</file>