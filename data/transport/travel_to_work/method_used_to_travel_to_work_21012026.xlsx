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202300"/>
  <mc:AlternateContent xmlns:mc="http://schemas.openxmlformats.org/markup-compatibility/2006">
    <mc:Choice Requires="x15">
      <x15ac:absPath xmlns:x15ac="http://schemas.microsoft.com/office/spreadsheetml/2010/11/ac" url="/Volumes/Files-1/IPR/Centres/Brunel Centre/Transport/"/>
    </mc:Choice>
  </mc:AlternateContent>
  <xr:revisionPtr revIDLastSave="0" documentId="13_ncr:1_{ECC5289F-63C8-254D-B021-595F48F0E347}" xr6:coauthVersionLast="47" xr6:coauthVersionMax="47" xr10:uidLastSave="{00000000-0000-0000-0000-000000000000}"/>
  <bookViews>
    <workbookView xWindow="2520" yWindow="-21100" windowWidth="38400" windowHeight="21100" activeTab="2" xr2:uid="{F3838E48-33B6-3E4D-ABD2-7FEC8AC3400F}"/>
  </bookViews>
  <sheets>
    <sheet name="Metadata" sheetId="2" r:id="rId1"/>
    <sheet name="Data" sheetId="3" r:id="rId2"/>
    <sheet name="Analysis"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3" i="1" l="1"/>
  <c r="Q13" i="1"/>
  <c r="R13" i="1"/>
  <c r="S13" i="1"/>
  <c r="T13" i="1"/>
  <c r="U13" i="1"/>
  <c r="V13" i="1"/>
  <c r="W13" i="1"/>
  <c r="X13" i="1"/>
  <c r="Y13" i="1"/>
  <c r="Z13" i="1"/>
  <c r="P14" i="1"/>
  <c r="Q14" i="1"/>
  <c r="R14" i="1"/>
  <c r="S14" i="1"/>
  <c r="T14" i="1"/>
  <c r="U14" i="1"/>
  <c r="V14" i="1"/>
  <c r="W14" i="1"/>
  <c r="X14" i="1"/>
  <c r="Y14" i="1"/>
  <c r="Z14" i="1"/>
  <c r="P15" i="1"/>
  <c r="Q15" i="1"/>
  <c r="R15" i="1"/>
  <c r="S15" i="1"/>
  <c r="T15" i="1"/>
  <c r="U15" i="1"/>
  <c r="V15" i="1"/>
  <c r="W15" i="1"/>
  <c r="X15" i="1"/>
  <c r="Y15" i="1"/>
  <c r="Z15" i="1"/>
  <c r="P16" i="1"/>
  <c r="Q16" i="1"/>
  <c r="R16" i="1"/>
  <c r="S16" i="1"/>
  <c r="T16" i="1"/>
  <c r="U16" i="1"/>
  <c r="V16" i="1"/>
  <c r="W16" i="1"/>
  <c r="X16" i="1"/>
  <c r="Y16" i="1"/>
  <c r="Z16" i="1"/>
  <c r="P17" i="1"/>
  <c r="Q17" i="1"/>
  <c r="R17" i="1"/>
  <c r="S17" i="1"/>
  <c r="T17" i="1"/>
  <c r="U17" i="1"/>
  <c r="V17" i="1"/>
  <c r="W17" i="1"/>
  <c r="X17" i="1"/>
  <c r="Y17" i="1"/>
  <c r="Z17" i="1"/>
  <c r="P18" i="1"/>
  <c r="Q18" i="1"/>
  <c r="R18" i="1"/>
  <c r="S18" i="1"/>
  <c r="T18" i="1"/>
  <c r="U18" i="1"/>
  <c r="V18" i="1"/>
  <c r="W18" i="1"/>
  <c r="X18" i="1"/>
  <c r="Y18" i="1"/>
  <c r="Z18" i="1"/>
  <c r="P19" i="1"/>
  <c r="Q19" i="1"/>
  <c r="R19" i="1"/>
  <c r="S19" i="1"/>
  <c r="T19" i="1"/>
  <c r="U19" i="1"/>
  <c r="V19" i="1"/>
  <c r="W19" i="1"/>
  <c r="X19" i="1"/>
  <c r="Y19" i="1"/>
  <c r="Z19" i="1"/>
  <c r="P20" i="1"/>
  <c r="Q20" i="1"/>
  <c r="R20" i="1"/>
  <c r="S20" i="1"/>
  <c r="T20" i="1"/>
  <c r="U20" i="1"/>
  <c r="V20" i="1"/>
  <c r="W20" i="1"/>
  <c r="X20" i="1"/>
  <c r="Y20" i="1"/>
  <c r="Z20" i="1"/>
  <c r="P21" i="1"/>
  <c r="Q21" i="1"/>
  <c r="R21" i="1"/>
  <c r="S21" i="1"/>
  <c r="T21" i="1"/>
  <c r="U21" i="1"/>
  <c r="V21" i="1"/>
  <c r="W21" i="1"/>
  <c r="X21" i="1"/>
  <c r="Y21" i="1"/>
  <c r="Z21" i="1"/>
  <c r="Z12" i="1"/>
  <c r="Y12" i="1"/>
  <c r="X12" i="1"/>
  <c r="W12" i="1"/>
  <c r="V12" i="1"/>
  <c r="U12" i="1"/>
  <c r="T12" i="1"/>
  <c r="S12" i="1"/>
  <c r="R12" i="1"/>
  <c r="Q12" i="1"/>
  <c r="P12" i="1"/>
  <c r="D21" i="1"/>
  <c r="D20" i="1"/>
  <c r="D13" i="1"/>
  <c r="D19" i="1" s="1"/>
  <c r="D14" i="1"/>
  <c r="D15" i="1"/>
  <c r="D16" i="1"/>
  <c r="D17" i="1"/>
  <c r="D18" i="1"/>
  <c r="D12" i="1"/>
  <c r="F19" i="1"/>
  <c r="G19" i="1"/>
  <c r="H19" i="1"/>
  <c r="I19" i="1"/>
  <c r="J19" i="1"/>
  <c r="K19" i="1"/>
  <c r="L19" i="1"/>
  <c r="M19" i="1"/>
  <c r="N19" i="1"/>
  <c r="O19" i="1"/>
  <c r="E19" i="1"/>
</calcChain>
</file>

<file path=xl/sharedStrings.xml><?xml version="1.0" encoding="utf-8"?>
<sst xmlns="http://schemas.openxmlformats.org/spreadsheetml/2006/main" count="175" uniqueCount="104">
  <si>
    <t>date</t>
  </si>
  <si>
    <t>geography</t>
  </si>
  <si>
    <t>geography_type</t>
  </si>
  <si>
    <t>Bath and North East Somerset</t>
  </si>
  <si>
    <t>LA</t>
  </si>
  <si>
    <t>Bristol, City of</t>
  </si>
  <si>
    <t>Gloucestershire</t>
  </si>
  <si>
    <t>North Somerset</t>
  </si>
  <si>
    <t>South Gloucestershire</t>
  </si>
  <si>
    <t>Swindon</t>
  </si>
  <si>
    <t>Wiltshire</t>
  </si>
  <si>
    <t>RG</t>
  </si>
  <si>
    <t>England</t>
  </si>
  <si>
    <t>NAT</t>
  </si>
  <si>
    <t>England excl. London</t>
  </si>
  <si>
    <t>Publisher</t>
  </si>
  <si>
    <t>ONS dataset</t>
  </si>
  <si>
    <t>ONS tables</t>
  </si>
  <si>
    <t>ONS publication date</t>
  </si>
  <si>
    <t>Next ONS update</t>
  </si>
  <si>
    <t>ONS link</t>
  </si>
  <si>
    <t>Created date</t>
  </si>
  <si>
    <t>Last updated</t>
  </si>
  <si>
    <t>Geography used for analysis</t>
  </si>
  <si>
    <t xml:space="preserve">Aggregation method  </t>
  </si>
  <si>
    <t>Data information:</t>
  </si>
  <si>
    <t>Office for National Statistics (ONS)</t>
  </si>
  <si>
    <t>Total</t>
  </si>
  <si>
    <t>lacu2023:Bath and North East Somerset</t>
  </si>
  <si>
    <t>lacu2023:Bristol, City of</t>
  </si>
  <si>
    <t>lacu2023:Gloucestershire</t>
  </si>
  <si>
    <t>lacu2023:North Somerset</t>
  </si>
  <si>
    <t>lacu2023:South Gloucestershire</t>
  </si>
  <si>
    <t>lacu2023:Swindon</t>
  </si>
  <si>
    <t>lacu2023:Wiltshire</t>
  </si>
  <si>
    <t>User Defined Geography:England</t>
  </si>
  <si>
    <t>User Defined Geography:England_excluding_London</t>
  </si>
  <si>
    <t>User Defined Geography:The Greater west of England</t>
  </si>
  <si>
    <t>Query livelinks</t>
  </si>
  <si>
    <t>The Greater West of England Area (Bristol, Bath &amp; North East Somerset, South Gloucestershire, North Somerset, Swindon, Wiltshire) and individual local authorities, England  (+excluding London)</t>
  </si>
  <si>
    <t>ONS Crown Copyright Reserved [from Nomis on 20 January 2026]</t>
  </si>
  <si>
    <t>population</t>
  </si>
  <si>
    <t>All usual residents aged 16 years and over in employment the week before the census</t>
  </si>
  <si>
    <t>units</t>
  </si>
  <si>
    <t>Persons</t>
  </si>
  <si>
    <t>Area</t>
  </si>
  <si>
    <t>Total: All usual residents aged 16 years and over in employment the week before the census</t>
  </si>
  <si>
    <t>In order to protect against disclosure of personal information, records have been swapped between different geographic areas and counts perturbed by small amounts. Small counts at the lowest geographies will be most affected.</t>
  </si>
  <si>
    <t>Census 2021 took place during a period of rapid change. We gave extra guidance to help people on furlough answer the census questions about work. However, we are unable to determine how furloughed people followed the guidance. Take care when using this data for planning purposes. Read more about specific quality considerations in our https://www.ons.gov.uk/employmentandlabourmarket/peopleinwork/employmentandemployeetypes/methodologies/traveltoworkqualityinformationforcensus2021.</t>
  </si>
  <si>
    <t>The Greater West of England</t>
  </si>
  <si>
    <t>total_over_16_in_employment</t>
  </si>
  <si>
    <t>rural urban</t>
  </si>
  <si>
    <t>uacounty09:Bath and North East Somerset</t>
  </si>
  <si>
    <t>uacounty09:Bristol, City of</t>
  </si>
  <si>
    <t>uacounty09:Gloucestershire</t>
  </si>
  <si>
    <t>uacounty09:North Somerset</t>
  </si>
  <si>
    <t>uacounty09:South Gloucestershire</t>
  </si>
  <si>
    <t>uacounty09:Swindon</t>
  </si>
  <si>
    <t>uacounty09:Wiltshire</t>
  </si>
  <si>
    <t>Work mainly at or from home</t>
  </si>
  <si>
    <t>Other</t>
  </si>
  <si>
    <t>In order to protect against disclosure of personal information, records have been swapped between different geographic areas. Some counts will be affected, particularly small counts at the lowest geographies.</t>
  </si>
  <si>
    <t>Aggregated by NOMIS (2021) for 2011 had to sum counts to get Greater West area.</t>
  </si>
  <si>
    <t>http://www.nomisweb.co.uk/livelinks/18801.xlsx</t>
  </si>
  <si>
    <t>https://www.nomisweb.co.uk/datasets/c2021ts061</t>
  </si>
  <si>
    <t>TS061 - Method used to travel to work</t>
  </si>
  <si>
    <t>Underground, metro, light rail, tram</t>
  </si>
  <si>
    <t>Train</t>
  </si>
  <si>
    <t>Bus, minibus or coach</t>
  </si>
  <si>
    <t>Taxi</t>
  </si>
  <si>
    <t>Motorcycle, scooter or moped</t>
  </si>
  <si>
    <t>Driving a car or van</t>
  </si>
  <si>
    <t>Passenger in a car or van</t>
  </si>
  <si>
    <t>Bicycle</t>
  </si>
  <si>
    <t>On foot</t>
  </si>
  <si>
    <t>Other method of travel to work</t>
  </si>
  <si>
    <t>number</t>
  </si>
  <si>
    <t>%</t>
  </si>
  <si>
    <t>This dataset provides Census 2021 estimates that classify usual residents in England and Wales by their method used to travel to work (2001 specification). The estimates are as at Census Day, 21 March 2021.</t>
  </si>
  <si>
    <t xml:space="preserve">TS061 - Method used to travel to work </t>
  </si>
  <si>
    <t>work_mainly_at_or_from_home</t>
  </si>
  <si>
    <t>Underground_metro_light_rail_tram</t>
  </si>
  <si>
    <t>Bus_minibus_coach</t>
  </si>
  <si>
    <t>Motorcycle_scooter_moped</t>
  </si>
  <si>
    <t>Passenger_in_car_or_van</t>
  </si>
  <si>
    <t>On_foot</t>
  </si>
  <si>
    <t>work_mainly_at_or_from_home_percent</t>
  </si>
  <si>
    <t>Underground_metro_light_rail_tram_percent</t>
  </si>
  <si>
    <t>Train_percent</t>
  </si>
  <si>
    <t>Bus_minibus_coach_percent</t>
  </si>
  <si>
    <t>Taxi_percent</t>
  </si>
  <si>
    <t>Motorcycle_scooter_moped_percent</t>
  </si>
  <si>
    <t>Driving_car_or_van_percent</t>
  </si>
  <si>
    <t>Driving_car_or_van</t>
  </si>
  <si>
    <t>Passenger_in_car_or_van_percent</t>
  </si>
  <si>
    <t>Bicycle_percent</t>
  </si>
  <si>
    <t>On_foot_percent</t>
  </si>
  <si>
    <t>Other_percent</t>
  </si>
  <si>
    <t xml:space="preserve">Note percentages provided by NOMIS for 2021, calculated here for 2011. </t>
  </si>
  <si>
    <t>QS701EW - Method of travel to work</t>
  </si>
  <si>
    <t>ONS Crown Copyright Reserved [from Nomis on 21 January 2026]</t>
  </si>
  <si>
    <t>All usual residents aged 16 to 74</t>
  </si>
  <si>
    <t>All categories: Method of travel to work</t>
  </si>
  <si>
    <t>Not in employment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</si>
</sst>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0" formatCode="#,##0.0"/>
  </numFmts>
  <fonts count="7" x14ac:knownFonts="1">
    <font>
      <sz val="12"/>
      <color theme="1"/>
      <name val="Aptos Narrow"/>
      <family val="2"/>
      <scheme val="minor"/>
    </font>
    <font>
      <b/>
      <sz val="11"/>
      <color theme="1"/>
      <name val="Aptos Narrow"/>
      <family val="2"/>
      <scheme val="minor"/>
    </font>
    <font>
      <b/>
      <sz val="12"/>
      <name val="Arial"/>
      <family val="2"/>
    </font>
    <font>
      <sz val="10"/>
      <name val="Arial"/>
      <family val="2"/>
    </font>
    <font>
      <b/>
      <sz val="10"/>
      <name val="Arial"/>
      <family val="2"/>
    </font>
    <font>
      <u/>
      <sz val="12"/>
      <color theme="10"/>
      <name val="Aptos Narrow"/>
      <family val="2"/>
      <scheme val="minor"/>
    </font>
    <font>
      <sz val="12"/>
      <color rgb="FF00000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8">
    <xf numFmtId="0" fontId="0" fillId="0" borderId="0" xfId="0"/>
    <xf numFmtId="0" fontId="1" fillId="0" borderId="0" xfId="0" applyFont="1" applyAlignment="1">
      <alignment horizontal="left" wrapText="1"/>
    </xf>
    <xf numFmtId="14" fontId="0" fillId="0" borderId="0" xfId="0" applyNumberFormat="1"/>
    <xf numFmtId="0" fontId="2" fillId="0" borderId="0" xfId="0" applyFont="1" applyAlignment="1">
      <alignment horizontal="left" vertical="center"/>
    </xf>
    <xf numFmtId="0" fontId="3" fillId="0" borderId="0" xfId="0" applyFont="1"/>
    <xf numFmtId="0" fontId="3" fillId="0" borderId="0" xfId="0" applyFont="1" applyAlignment="1">
      <alignment horizontal="left"/>
    </xf>
    <xf numFmtId="0" fontId="4" fillId="0" borderId="0" xfId="0" applyFont="1" applyAlignment="1">
      <alignment horizontal="left" vertical="center" wrapText="1"/>
    </xf>
    <xf numFmtId="0" fontId="4" fillId="0" borderId="0" xfId="0" applyFont="1" applyAlignment="1">
      <alignment horizontal="center" vertical="center" wrapText="1"/>
    </xf>
    <xf numFmtId="3" fontId="3" fillId="0" borderId="0" xfId="0" applyNumberFormat="1" applyFont="1" applyAlignment="1">
      <alignment horizontal="right"/>
    </xf>
    <xf numFmtId="0" fontId="5" fillId="0" borderId="0" xfId="1"/>
    <xf numFmtId="0" fontId="6" fillId="0" borderId="0" xfId="0" applyFont="1"/>
    <xf numFmtId="3" fontId="0" fillId="0" borderId="0" xfId="0" applyNumberFormat="1"/>
    <xf numFmtId="1" fontId="0" fillId="0" borderId="0" xfId="0" applyNumberFormat="1"/>
    <xf numFmtId="0" fontId="4" fillId="0" borderId="0" xfId="0" applyFont="1" applyAlignment="1">
      <alignment horizontal="center" vertical="center" wrapText="1"/>
    </xf>
    <xf numFmtId="0" fontId="0" fillId="0" borderId="0" xfId="0"/>
    <xf numFmtId="0" fontId="4" fillId="0" borderId="0" xfId="0" applyFont="1" applyAlignment="1">
      <alignment horizontal="right" vertical="center"/>
    </xf>
    <xf numFmtId="170" fontId="3" fillId="0" borderId="0" xfId="0" applyNumberFormat="1" applyFont="1" applyAlignment="1">
      <alignment horizontal="right"/>
    </xf>
    <xf numFmtId="170"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www.nomisweb.co.uk/livelinks/18801.xlsx" TargetMode="External"/><Relationship Id="rId1" Type="http://schemas.openxmlformats.org/officeDocument/2006/relationships/hyperlink" Target="https://www.nomisweb.co.uk/datasets/c2021ts06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4F89D-D895-144E-9321-FCBFF913ABF8}">
  <dimension ref="A1:D13"/>
  <sheetViews>
    <sheetView zoomScale="125" workbookViewId="0">
      <selection activeCell="B14" sqref="B14"/>
    </sheetView>
  </sheetViews>
  <sheetFormatPr baseColWidth="10" defaultRowHeight="16" x14ac:dyDescent="0.2"/>
  <cols>
    <col min="1" max="1" width="19.5" customWidth="1"/>
    <col min="2" max="2" width="54.5" customWidth="1"/>
  </cols>
  <sheetData>
    <row r="1" spans="1:4" x14ac:dyDescent="0.2">
      <c r="A1" s="1" t="s">
        <v>15</v>
      </c>
      <c r="B1" t="s">
        <v>26</v>
      </c>
    </row>
    <row r="2" spans="1:4" x14ac:dyDescent="0.2">
      <c r="A2" s="1" t="s">
        <v>16</v>
      </c>
      <c r="B2" t="s">
        <v>79</v>
      </c>
    </row>
    <row r="3" spans="1:4" x14ac:dyDescent="0.2">
      <c r="A3" s="1" t="s">
        <v>17</v>
      </c>
    </row>
    <row r="4" spans="1:4" x14ac:dyDescent="0.2">
      <c r="A4" s="1" t="s">
        <v>18</v>
      </c>
      <c r="B4" s="12">
        <v>2021</v>
      </c>
    </row>
    <row r="5" spans="1:4" x14ac:dyDescent="0.2">
      <c r="A5" s="1" t="s">
        <v>19</v>
      </c>
    </row>
    <row r="6" spans="1:4" x14ac:dyDescent="0.2">
      <c r="A6" s="1" t="s">
        <v>38</v>
      </c>
      <c r="B6" s="9" t="s">
        <v>63</v>
      </c>
      <c r="C6" s="9"/>
    </row>
    <row r="7" spans="1:4" x14ac:dyDescent="0.2">
      <c r="A7" s="1" t="s">
        <v>20</v>
      </c>
      <c r="B7" s="9" t="s">
        <v>64</v>
      </c>
      <c r="D7" s="9"/>
    </row>
    <row r="8" spans="1:4" x14ac:dyDescent="0.2">
      <c r="A8" s="1" t="s">
        <v>21</v>
      </c>
      <c r="B8" s="2">
        <v>46043</v>
      </c>
    </row>
    <row r="9" spans="1:4" x14ac:dyDescent="0.2">
      <c r="A9" s="1" t="s">
        <v>22</v>
      </c>
      <c r="B9" s="2">
        <v>46043</v>
      </c>
    </row>
    <row r="10" spans="1:4" ht="32" x14ac:dyDescent="0.2">
      <c r="A10" s="1" t="s">
        <v>23</v>
      </c>
      <c r="B10" t="s">
        <v>39</v>
      </c>
    </row>
    <row r="11" spans="1:4" x14ac:dyDescent="0.2">
      <c r="A11" s="1" t="s">
        <v>24</v>
      </c>
      <c r="B11" t="s">
        <v>62</v>
      </c>
    </row>
    <row r="12" spans="1:4" x14ac:dyDescent="0.2">
      <c r="A12" s="1" t="s">
        <v>25</v>
      </c>
      <c r="B12" t="s">
        <v>78</v>
      </c>
    </row>
    <row r="13" spans="1:4" x14ac:dyDescent="0.2">
      <c r="B13" t="s">
        <v>98</v>
      </c>
    </row>
  </sheetData>
  <hyperlinks>
    <hyperlink ref="B7" r:id="rId1" xr:uid="{794BDF6B-C7B9-DF4F-B1F5-2519227EFD60}"/>
    <hyperlink ref="B6" r:id="rId2" xr:uid="{60C3CB98-6230-7148-8B2F-0FF4B5A53E8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31F01-CF34-B04B-8F44-AFC33149FAE8}">
  <dimension ref="A1:Y418"/>
  <sheetViews>
    <sheetView zoomScale="144" workbookViewId="0">
      <selection activeCell="G29" sqref="G29"/>
    </sheetView>
  </sheetViews>
  <sheetFormatPr baseColWidth="10" defaultRowHeight="16" x14ac:dyDescent="0.2"/>
  <sheetData>
    <row r="1" spans="1:25" x14ac:dyDescent="0.2">
      <c r="A1" s="3" t="s">
        <v>65</v>
      </c>
    </row>
    <row r="2" spans="1:25" x14ac:dyDescent="0.2">
      <c r="A2" s="4" t="s">
        <v>40</v>
      </c>
    </row>
    <row r="4" spans="1:25" x14ac:dyDescent="0.2">
      <c r="A4" s="5" t="s">
        <v>41</v>
      </c>
      <c r="B4" s="5" t="s">
        <v>42</v>
      </c>
    </row>
    <row r="5" spans="1:25" x14ac:dyDescent="0.2">
      <c r="A5" s="5" t="s">
        <v>43</v>
      </c>
      <c r="B5" s="5" t="s">
        <v>44</v>
      </c>
    </row>
    <row r="6" spans="1:25" x14ac:dyDescent="0.2">
      <c r="A6" s="5" t="s">
        <v>0</v>
      </c>
      <c r="B6" s="5">
        <v>2021</v>
      </c>
    </row>
    <row r="8" spans="1:25" ht="24" customHeight="1" x14ac:dyDescent="0.2">
      <c r="A8" s="6" t="s">
        <v>45</v>
      </c>
      <c r="B8" s="13" t="s">
        <v>46</v>
      </c>
      <c r="C8" s="14"/>
      <c r="D8" s="13" t="s">
        <v>59</v>
      </c>
      <c r="E8" s="14"/>
      <c r="F8" s="13" t="s">
        <v>66</v>
      </c>
      <c r="G8" s="14"/>
      <c r="H8" s="13" t="s">
        <v>67</v>
      </c>
      <c r="I8" s="14"/>
      <c r="J8" s="13" t="s">
        <v>68</v>
      </c>
      <c r="K8" s="14"/>
      <c r="L8" s="13" t="s">
        <v>69</v>
      </c>
      <c r="M8" s="14"/>
      <c r="N8" s="13" t="s">
        <v>70</v>
      </c>
      <c r="O8" s="14"/>
      <c r="P8" s="13" t="s">
        <v>71</v>
      </c>
      <c r="Q8" s="14"/>
      <c r="R8" s="13" t="s">
        <v>72</v>
      </c>
      <c r="S8" s="14"/>
      <c r="T8" s="13" t="s">
        <v>73</v>
      </c>
      <c r="U8" s="14"/>
      <c r="V8" s="13" t="s">
        <v>74</v>
      </c>
      <c r="W8" s="14"/>
      <c r="X8" s="13" t="s">
        <v>75</v>
      </c>
      <c r="Y8" s="14"/>
    </row>
    <row r="9" spans="1:25" x14ac:dyDescent="0.2">
      <c r="B9" s="15" t="s">
        <v>76</v>
      </c>
      <c r="C9" s="15" t="s">
        <v>77</v>
      </c>
      <c r="D9" s="15" t="s">
        <v>76</v>
      </c>
      <c r="E9" s="15" t="s">
        <v>77</v>
      </c>
      <c r="F9" s="15" t="s">
        <v>76</v>
      </c>
      <c r="G9" s="15" t="s">
        <v>77</v>
      </c>
      <c r="H9" s="15" t="s">
        <v>76</v>
      </c>
      <c r="I9" s="15" t="s">
        <v>77</v>
      </c>
      <c r="J9" s="15" t="s">
        <v>76</v>
      </c>
      <c r="K9" s="15" t="s">
        <v>77</v>
      </c>
      <c r="L9" s="15" t="s">
        <v>76</v>
      </c>
      <c r="M9" s="15" t="s">
        <v>77</v>
      </c>
      <c r="N9" s="15" t="s">
        <v>76</v>
      </c>
      <c r="O9" s="15" t="s">
        <v>77</v>
      </c>
      <c r="P9" s="15" t="s">
        <v>76</v>
      </c>
      <c r="Q9" s="15" t="s">
        <v>77</v>
      </c>
      <c r="R9" s="15" t="s">
        <v>76</v>
      </c>
      <c r="S9" s="15" t="s">
        <v>77</v>
      </c>
      <c r="T9" s="15" t="s">
        <v>76</v>
      </c>
      <c r="U9" s="15" t="s">
        <v>77</v>
      </c>
      <c r="V9" s="15" t="s">
        <v>76</v>
      </c>
      <c r="W9" s="15" t="s">
        <v>77</v>
      </c>
      <c r="X9" s="15" t="s">
        <v>76</v>
      </c>
      <c r="Y9" s="15" t="s">
        <v>77</v>
      </c>
    </row>
    <row r="10" spans="1:25" x14ac:dyDescent="0.2">
      <c r="A10" s="5" t="s">
        <v>28</v>
      </c>
      <c r="B10" s="8">
        <v>89815</v>
      </c>
      <c r="C10" s="16">
        <v>100</v>
      </c>
      <c r="D10" s="8">
        <v>34611</v>
      </c>
      <c r="E10" s="16">
        <v>38.5</v>
      </c>
      <c r="F10" s="8">
        <v>62</v>
      </c>
      <c r="G10" s="16">
        <v>0.1</v>
      </c>
      <c r="H10" s="8">
        <v>629</v>
      </c>
      <c r="I10" s="16">
        <v>0.7</v>
      </c>
      <c r="J10" s="8">
        <v>3063</v>
      </c>
      <c r="K10" s="16">
        <v>3.4</v>
      </c>
      <c r="L10" s="8">
        <v>235</v>
      </c>
      <c r="M10" s="16">
        <v>0.3</v>
      </c>
      <c r="N10" s="8">
        <v>522</v>
      </c>
      <c r="O10" s="16">
        <v>0.6</v>
      </c>
      <c r="P10" s="8">
        <v>35753</v>
      </c>
      <c r="Q10" s="16">
        <v>39.799999999999997</v>
      </c>
      <c r="R10" s="8">
        <v>2637</v>
      </c>
      <c r="S10" s="16">
        <v>2.9</v>
      </c>
      <c r="T10" s="8">
        <v>1713</v>
      </c>
      <c r="U10" s="16">
        <v>1.9</v>
      </c>
      <c r="V10" s="8">
        <v>9848</v>
      </c>
      <c r="W10" s="16">
        <v>11</v>
      </c>
      <c r="X10" s="8">
        <v>742</v>
      </c>
      <c r="Y10" s="16">
        <v>0.8</v>
      </c>
    </row>
    <row r="11" spans="1:25" x14ac:dyDescent="0.2">
      <c r="A11" s="5" t="s">
        <v>29</v>
      </c>
      <c r="B11" s="8">
        <v>238512</v>
      </c>
      <c r="C11" s="16">
        <v>100</v>
      </c>
      <c r="D11" s="8">
        <v>92026</v>
      </c>
      <c r="E11" s="16">
        <v>38.6</v>
      </c>
      <c r="F11" s="8">
        <v>115</v>
      </c>
      <c r="G11" s="16">
        <v>0</v>
      </c>
      <c r="H11" s="8">
        <v>1650</v>
      </c>
      <c r="I11" s="16">
        <v>0.7</v>
      </c>
      <c r="J11" s="8">
        <v>14617</v>
      </c>
      <c r="K11" s="16">
        <v>6.1</v>
      </c>
      <c r="L11" s="8">
        <v>999</v>
      </c>
      <c r="M11" s="16">
        <v>0.4</v>
      </c>
      <c r="N11" s="8">
        <v>1545</v>
      </c>
      <c r="O11" s="16">
        <v>0.6</v>
      </c>
      <c r="P11" s="8">
        <v>78915</v>
      </c>
      <c r="Q11" s="16">
        <v>33.1</v>
      </c>
      <c r="R11" s="8">
        <v>7329</v>
      </c>
      <c r="S11" s="16">
        <v>3.1</v>
      </c>
      <c r="T11" s="8">
        <v>12466</v>
      </c>
      <c r="U11" s="16">
        <v>5.2</v>
      </c>
      <c r="V11" s="8">
        <v>26730</v>
      </c>
      <c r="W11" s="16">
        <v>11.2</v>
      </c>
      <c r="X11" s="8">
        <v>2120</v>
      </c>
      <c r="Y11" s="16">
        <v>0.9</v>
      </c>
    </row>
    <row r="12" spans="1:25" x14ac:dyDescent="0.2">
      <c r="A12" s="5" t="s">
        <v>30</v>
      </c>
      <c r="B12" s="8">
        <v>315290</v>
      </c>
      <c r="C12" s="16">
        <v>100</v>
      </c>
      <c r="D12" s="8">
        <v>102551</v>
      </c>
      <c r="E12" s="16">
        <v>32.5</v>
      </c>
      <c r="F12" s="8">
        <v>144</v>
      </c>
      <c r="G12" s="16">
        <v>0</v>
      </c>
      <c r="H12" s="8">
        <v>969</v>
      </c>
      <c r="I12" s="16">
        <v>0.3</v>
      </c>
      <c r="J12" s="8">
        <v>6907</v>
      </c>
      <c r="K12" s="16">
        <v>2.2000000000000002</v>
      </c>
      <c r="L12" s="8">
        <v>496</v>
      </c>
      <c r="M12" s="16">
        <v>0.2</v>
      </c>
      <c r="N12" s="8">
        <v>1500</v>
      </c>
      <c r="O12" s="16">
        <v>0.5</v>
      </c>
      <c r="P12" s="8">
        <v>155771</v>
      </c>
      <c r="Q12" s="16">
        <v>49.4</v>
      </c>
      <c r="R12" s="8">
        <v>11638</v>
      </c>
      <c r="S12" s="16">
        <v>3.7</v>
      </c>
      <c r="T12" s="8">
        <v>7311</v>
      </c>
      <c r="U12" s="16">
        <v>2.2999999999999998</v>
      </c>
      <c r="V12" s="8">
        <v>25499</v>
      </c>
      <c r="W12" s="16">
        <v>8.1</v>
      </c>
      <c r="X12" s="8">
        <v>2504</v>
      </c>
      <c r="Y12" s="16">
        <v>0.8</v>
      </c>
    </row>
    <row r="13" spans="1:25" x14ac:dyDescent="0.2">
      <c r="A13" s="5" t="s">
        <v>31</v>
      </c>
      <c r="B13" s="8">
        <v>102699</v>
      </c>
      <c r="C13" s="16">
        <v>100</v>
      </c>
      <c r="D13" s="8">
        <v>33466</v>
      </c>
      <c r="E13" s="16">
        <v>32.6</v>
      </c>
      <c r="F13" s="8">
        <v>30</v>
      </c>
      <c r="G13" s="16">
        <v>0</v>
      </c>
      <c r="H13" s="8">
        <v>801</v>
      </c>
      <c r="I13" s="16">
        <v>0.8</v>
      </c>
      <c r="J13" s="8">
        <v>1782</v>
      </c>
      <c r="K13" s="16">
        <v>1.7</v>
      </c>
      <c r="L13" s="8">
        <v>386</v>
      </c>
      <c r="M13" s="16">
        <v>0.4</v>
      </c>
      <c r="N13" s="8">
        <v>509</v>
      </c>
      <c r="O13" s="16">
        <v>0.5</v>
      </c>
      <c r="P13" s="8">
        <v>51958</v>
      </c>
      <c r="Q13" s="16">
        <v>50.6</v>
      </c>
      <c r="R13" s="8">
        <v>3798</v>
      </c>
      <c r="S13" s="16">
        <v>3.7</v>
      </c>
      <c r="T13" s="8">
        <v>1951</v>
      </c>
      <c r="U13" s="16">
        <v>1.9</v>
      </c>
      <c r="V13" s="8">
        <v>7185</v>
      </c>
      <c r="W13" s="16">
        <v>7</v>
      </c>
      <c r="X13" s="8">
        <v>833</v>
      </c>
      <c r="Y13" s="16">
        <v>0.8</v>
      </c>
    </row>
    <row r="14" spans="1:25" x14ac:dyDescent="0.2">
      <c r="A14" s="5" t="s">
        <v>32</v>
      </c>
      <c r="B14" s="8">
        <v>147610</v>
      </c>
      <c r="C14" s="16">
        <v>100</v>
      </c>
      <c r="D14" s="8">
        <v>52349</v>
      </c>
      <c r="E14" s="16">
        <v>35.5</v>
      </c>
      <c r="F14" s="8">
        <v>40</v>
      </c>
      <c r="G14" s="16">
        <v>0</v>
      </c>
      <c r="H14" s="8">
        <v>438</v>
      </c>
      <c r="I14" s="16">
        <v>0.3</v>
      </c>
      <c r="J14" s="8">
        <v>4442</v>
      </c>
      <c r="K14" s="16">
        <v>3</v>
      </c>
      <c r="L14" s="8">
        <v>276</v>
      </c>
      <c r="M14" s="16">
        <v>0.2</v>
      </c>
      <c r="N14" s="8">
        <v>968</v>
      </c>
      <c r="O14" s="16">
        <v>0.7</v>
      </c>
      <c r="P14" s="8">
        <v>71696</v>
      </c>
      <c r="Q14" s="16">
        <v>48.6</v>
      </c>
      <c r="R14" s="8">
        <v>4890</v>
      </c>
      <c r="S14" s="16">
        <v>3.3</v>
      </c>
      <c r="T14" s="8">
        <v>3060</v>
      </c>
      <c r="U14" s="16">
        <v>2.1</v>
      </c>
      <c r="V14" s="8">
        <v>8371</v>
      </c>
      <c r="W14" s="16">
        <v>5.7</v>
      </c>
      <c r="X14" s="8">
        <v>1080</v>
      </c>
      <c r="Y14" s="16">
        <v>0.7</v>
      </c>
    </row>
    <row r="15" spans="1:25" x14ac:dyDescent="0.2">
      <c r="A15" s="5" t="s">
        <v>33</v>
      </c>
      <c r="B15" s="8">
        <v>117866</v>
      </c>
      <c r="C15" s="16">
        <v>100</v>
      </c>
      <c r="D15" s="8">
        <v>36022</v>
      </c>
      <c r="E15" s="16">
        <v>30.6</v>
      </c>
      <c r="F15" s="8">
        <v>64</v>
      </c>
      <c r="G15" s="16">
        <v>0.1</v>
      </c>
      <c r="H15" s="8">
        <v>514</v>
      </c>
      <c r="I15" s="16">
        <v>0.4</v>
      </c>
      <c r="J15" s="8">
        <v>6612</v>
      </c>
      <c r="K15" s="16">
        <v>5.6</v>
      </c>
      <c r="L15" s="8">
        <v>830</v>
      </c>
      <c r="M15" s="16">
        <v>0.7</v>
      </c>
      <c r="N15" s="8">
        <v>559</v>
      </c>
      <c r="O15" s="16">
        <v>0.5</v>
      </c>
      <c r="P15" s="8">
        <v>55279</v>
      </c>
      <c r="Q15" s="16">
        <v>46.9</v>
      </c>
      <c r="R15" s="8">
        <v>6049</v>
      </c>
      <c r="S15" s="16">
        <v>5.0999999999999996</v>
      </c>
      <c r="T15" s="8">
        <v>3289</v>
      </c>
      <c r="U15" s="16">
        <v>2.8</v>
      </c>
      <c r="V15" s="8">
        <v>7517</v>
      </c>
      <c r="W15" s="16">
        <v>6.4</v>
      </c>
      <c r="X15" s="8">
        <v>1131</v>
      </c>
      <c r="Y15" s="16">
        <v>1</v>
      </c>
    </row>
    <row r="16" spans="1:25" x14ac:dyDescent="0.2">
      <c r="A16" s="5" t="s">
        <v>34</v>
      </c>
      <c r="B16" s="8">
        <v>252341</v>
      </c>
      <c r="C16" s="16">
        <v>100</v>
      </c>
      <c r="D16" s="8">
        <v>85967</v>
      </c>
      <c r="E16" s="16">
        <v>34.1</v>
      </c>
      <c r="F16" s="8">
        <v>152</v>
      </c>
      <c r="G16" s="16">
        <v>0.1</v>
      </c>
      <c r="H16" s="8">
        <v>1738</v>
      </c>
      <c r="I16" s="16">
        <v>0.7</v>
      </c>
      <c r="J16" s="8">
        <v>3845</v>
      </c>
      <c r="K16" s="16">
        <v>1.5</v>
      </c>
      <c r="L16" s="8">
        <v>468</v>
      </c>
      <c r="M16" s="16">
        <v>0.2</v>
      </c>
      <c r="N16" s="8">
        <v>1103</v>
      </c>
      <c r="O16" s="16">
        <v>0.4</v>
      </c>
      <c r="P16" s="8">
        <v>122462</v>
      </c>
      <c r="Q16" s="16">
        <v>48.5</v>
      </c>
      <c r="R16" s="8">
        <v>8743</v>
      </c>
      <c r="S16" s="16">
        <v>3.5</v>
      </c>
      <c r="T16" s="8">
        <v>4445</v>
      </c>
      <c r="U16" s="16">
        <v>1.8</v>
      </c>
      <c r="V16" s="8">
        <v>21174</v>
      </c>
      <c r="W16" s="16">
        <v>8.4</v>
      </c>
      <c r="X16" s="8">
        <v>2244</v>
      </c>
      <c r="Y16" s="16">
        <v>0.9</v>
      </c>
    </row>
    <row r="17" spans="1:25" x14ac:dyDescent="0.2">
      <c r="A17" s="5" t="s">
        <v>35</v>
      </c>
      <c r="B17" s="8">
        <v>26405206</v>
      </c>
      <c r="C17" s="16">
        <v>100</v>
      </c>
      <c r="D17" s="8">
        <v>8321252</v>
      </c>
      <c r="E17" s="16">
        <v>31.5</v>
      </c>
      <c r="F17" s="8">
        <v>504716</v>
      </c>
      <c r="G17" s="16">
        <v>1.9</v>
      </c>
      <c r="H17" s="8">
        <v>517901</v>
      </c>
      <c r="I17" s="16">
        <v>2</v>
      </c>
      <c r="J17" s="8">
        <v>1129537</v>
      </c>
      <c r="K17" s="16">
        <v>4.3</v>
      </c>
      <c r="L17" s="8">
        <v>192884</v>
      </c>
      <c r="M17" s="16">
        <v>0.7</v>
      </c>
      <c r="N17" s="8">
        <v>124207</v>
      </c>
      <c r="O17" s="16">
        <v>0.5</v>
      </c>
      <c r="P17" s="8">
        <v>11751946</v>
      </c>
      <c r="Q17" s="16">
        <v>44.5</v>
      </c>
      <c r="R17" s="8">
        <v>1017401</v>
      </c>
      <c r="S17" s="16">
        <v>3.9</v>
      </c>
      <c r="T17" s="8">
        <v>554210</v>
      </c>
      <c r="U17" s="16">
        <v>2.1</v>
      </c>
      <c r="V17" s="8">
        <v>2016982</v>
      </c>
      <c r="W17" s="16">
        <v>7.6</v>
      </c>
      <c r="X17" s="8">
        <v>274170</v>
      </c>
      <c r="Y17" s="16">
        <v>1</v>
      </c>
    </row>
    <row r="18" spans="1:25" x14ac:dyDescent="0.2">
      <c r="A18" s="5" t="s">
        <v>36</v>
      </c>
      <c r="B18" s="8">
        <v>22045131</v>
      </c>
      <c r="C18" s="16">
        <v>100</v>
      </c>
      <c r="D18" s="8">
        <v>6484429</v>
      </c>
      <c r="E18" s="16">
        <v>29.4</v>
      </c>
      <c r="F18" s="8">
        <v>72874</v>
      </c>
      <c r="G18" s="16">
        <v>0.3</v>
      </c>
      <c r="H18" s="8">
        <v>286827</v>
      </c>
      <c r="I18" s="16">
        <v>1.3</v>
      </c>
      <c r="J18" s="8">
        <v>743469</v>
      </c>
      <c r="K18" s="16">
        <v>3.4</v>
      </c>
      <c r="L18" s="8">
        <v>170340</v>
      </c>
      <c r="M18" s="16">
        <v>0.8</v>
      </c>
      <c r="N18" s="8">
        <v>93803</v>
      </c>
      <c r="O18" s="16">
        <v>0.4</v>
      </c>
      <c r="P18" s="8">
        <v>10854835</v>
      </c>
      <c r="Q18" s="16">
        <v>49.2</v>
      </c>
      <c r="R18" s="8">
        <v>953518</v>
      </c>
      <c r="S18" s="16">
        <v>4.3</v>
      </c>
      <c r="T18" s="8">
        <v>425377</v>
      </c>
      <c r="U18" s="16">
        <v>1.9</v>
      </c>
      <c r="V18" s="8">
        <v>1737529</v>
      </c>
      <c r="W18" s="16">
        <v>7.9</v>
      </c>
      <c r="X18" s="8">
        <v>222130</v>
      </c>
      <c r="Y18" s="16">
        <v>1</v>
      </c>
    </row>
    <row r="19" spans="1:25" x14ac:dyDescent="0.2">
      <c r="A19" s="5" t="s">
        <v>37</v>
      </c>
      <c r="B19" s="8">
        <v>1264133</v>
      </c>
      <c r="C19" s="16">
        <v>100</v>
      </c>
      <c r="D19" s="8">
        <v>436992</v>
      </c>
      <c r="E19" s="16">
        <v>34.6</v>
      </c>
      <c r="F19" s="8">
        <v>607</v>
      </c>
      <c r="G19" s="16">
        <v>0</v>
      </c>
      <c r="H19" s="8">
        <v>6739</v>
      </c>
      <c r="I19" s="16">
        <v>0.5</v>
      </c>
      <c r="J19" s="8">
        <v>41268</v>
      </c>
      <c r="K19" s="16">
        <v>3.3</v>
      </c>
      <c r="L19" s="8">
        <v>3690</v>
      </c>
      <c r="M19" s="16">
        <v>0.3</v>
      </c>
      <c r="N19" s="8">
        <v>6706</v>
      </c>
      <c r="O19" s="16">
        <v>0.5</v>
      </c>
      <c r="P19" s="8">
        <v>571834</v>
      </c>
      <c r="Q19" s="16">
        <v>45.2</v>
      </c>
      <c r="R19" s="8">
        <v>45084</v>
      </c>
      <c r="S19" s="16">
        <v>3.6</v>
      </c>
      <c r="T19" s="8">
        <v>34235</v>
      </c>
      <c r="U19" s="16">
        <v>2.7</v>
      </c>
      <c r="V19" s="8">
        <v>106324</v>
      </c>
      <c r="W19" s="16">
        <v>8.4</v>
      </c>
      <c r="X19" s="8">
        <v>10654</v>
      </c>
      <c r="Y19" s="16">
        <v>0.8</v>
      </c>
    </row>
    <row r="21" spans="1:25" x14ac:dyDescent="0.2">
      <c r="A21" s="4" t="s">
        <v>47</v>
      </c>
    </row>
    <row r="22" spans="1:25" x14ac:dyDescent="0.2">
      <c r="A22" s="4" t="s">
        <v>48</v>
      </c>
    </row>
    <row r="23" spans="1:25" x14ac:dyDescent="0.2">
      <c r="A23" s="3"/>
    </row>
    <row r="24" spans="1:25" x14ac:dyDescent="0.2">
      <c r="A24" s="4"/>
    </row>
    <row r="25" spans="1:25" x14ac:dyDescent="0.2">
      <c r="A25" s="3" t="s">
        <v>99</v>
      </c>
    </row>
    <row r="26" spans="1:25" x14ac:dyDescent="0.2">
      <c r="A26" s="4" t="s">
        <v>100</v>
      </c>
    </row>
    <row r="28" spans="1:25" x14ac:dyDescent="0.2">
      <c r="A28" s="5" t="s">
        <v>41</v>
      </c>
      <c r="B28" s="5" t="s">
        <v>101</v>
      </c>
    </row>
    <row r="29" spans="1:25" x14ac:dyDescent="0.2">
      <c r="A29" s="5" t="s">
        <v>43</v>
      </c>
      <c r="B29" s="5" t="s">
        <v>44</v>
      </c>
    </row>
    <row r="30" spans="1:25" x14ac:dyDescent="0.2">
      <c r="A30" s="5" t="s">
        <v>0</v>
      </c>
      <c r="B30" s="5">
        <v>2011</v>
      </c>
    </row>
    <row r="31" spans="1:25" ht="52" customHeight="1" x14ac:dyDescent="0.2">
      <c r="A31" s="5" t="s">
        <v>51</v>
      </c>
      <c r="B31" s="5" t="s">
        <v>27</v>
      </c>
    </row>
    <row r="33" spans="1:14" ht="70" x14ac:dyDescent="0.2">
      <c r="A33" s="6" t="s">
        <v>45</v>
      </c>
      <c r="B33" s="7" t="s">
        <v>102</v>
      </c>
      <c r="C33" s="7" t="s">
        <v>59</v>
      </c>
      <c r="D33" s="7" t="s">
        <v>66</v>
      </c>
      <c r="E33" s="7" t="s">
        <v>67</v>
      </c>
      <c r="F33" s="7" t="s">
        <v>68</v>
      </c>
      <c r="G33" s="7" t="s">
        <v>69</v>
      </c>
      <c r="H33" s="7" t="s">
        <v>70</v>
      </c>
      <c r="I33" s="7" t="s">
        <v>71</v>
      </c>
      <c r="J33" s="7" t="s">
        <v>72</v>
      </c>
      <c r="K33" s="7" t="s">
        <v>73</v>
      </c>
      <c r="L33" s="7" t="s">
        <v>74</v>
      </c>
      <c r="M33" s="7" t="s">
        <v>75</v>
      </c>
      <c r="N33" s="7" t="s">
        <v>103</v>
      </c>
    </row>
    <row r="34" spans="1:14" x14ac:dyDescent="0.2">
      <c r="A34" s="5" t="s">
        <v>52</v>
      </c>
      <c r="B34" s="8">
        <v>130550</v>
      </c>
      <c r="C34" s="8">
        <v>6512</v>
      </c>
      <c r="D34" s="8">
        <v>121</v>
      </c>
      <c r="E34" s="8">
        <v>3051</v>
      </c>
      <c r="F34" s="8">
        <v>5472</v>
      </c>
      <c r="G34" s="8">
        <v>221</v>
      </c>
      <c r="H34" s="8">
        <v>891</v>
      </c>
      <c r="I34" s="8">
        <v>47051</v>
      </c>
      <c r="J34" s="8">
        <v>3891</v>
      </c>
      <c r="K34" s="8">
        <v>2537</v>
      </c>
      <c r="L34" s="8">
        <v>14579</v>
      </c>
      <c r="M34" s="8">
        <v>532</v>
      </c>
      <c r="N34" s="8">
        <v>45692</v>
      </c>
    </row>
    <row r="35" spans="1:14" x14ac:dyDescent="0.2">
      <c r="A35" s="5" t="s">
        <v>53</v>
      </c>
      <c r="B35" s="8">
        <v>321506</v>
      </c>
      <c r="C35" s="8">
        <v>9578</v>
      </c>
      <c r="D35" s="8">
        <v>287</v>
      </c>
      <c r="E35" s="8">
        <v>4150</v>
      </c>
      <c r="F35" s="8">
        <v>20216</v>
      </c>
      <c r="G35" s="8">
        <v>618</v>
      </c>
      <c r="H35" s="8">
        <v>2375</v>
      </c>
      <c r="I35" s="8">
        <v>104729</v>
      </c>
      <c r="J35" s="8">
        <v>10233</v>
      </c>
      <c r="K35" s="8">
        <v>16211</v>
      </c>
      <c r="L35" s="8">
        <v>40468</v>
      </c>
      <c r="M35" s="8">
        <v>1130</v>
      </c>
      <c r="N35" s="8">
        <v>111511</v>
      </c>
    </row>
    <row r="36" spans="1:14" x14ac:dyDescent="0.2">
      <c r="A36" s="5" t="s">
        <v>54</v>
      </c>
      <c r="B36" s="8">
        <v>437088</v>
      </c>
      <c r="C36" s="8">
        <v>20995</v>
      </c>
      <c r="D36" s="8">
        <v>439</v>
      </c>
      <c r="E36" s="8">
        <v>3471</v>
      </c>
      <c r="F36" s="8">
        <v>12496</v>
      </c>
      <c r="G36" s="8">
        <v>504</v>
      </c>
      <c r="H36" s="8">
        <v>2736</v>
      </c>
      <c r="I36" s="8">
        <v>195239</v>
      </c>
      <c r="J36" s="8">
        <v>15340</v>
      </c>
      <c r="K36" s="8">
        <v>11356</v>
      </c>
      <c r="L36" s="8">
        <v>35854</v>
      </c>
      <c r="M36" s="8">
        <v>1610</v>
      </c>
      <c r="N36" s="8">
        <v>137048</v>
      </c>
    </row>
    <row r="37" spans="1:14" x14ac:dyDescent="0.2">
      <c r="A37" s="5" t="s">
        <v>55</v>
      </c>
      <c r="B37" s="8">
        <v>145352</v>
      </c>
      <c r="C37" s="8">
        <v>6422</v>
      </c>
      <c r="D37" s="8">
        <v>102</v>
      </c>
      <c r="E37" s="8">
        <v>2339</v>
      </c>
      <c r="F37" s="8">
        <v>2941</v>
      </c>
      <c r="G37" s="8">
        <v>366</v>
      </c>
      <c r="H37" s="8">
        <v>975</v>
      </c>
      <c r="I37" s="8">
        <v>66826</v>
      </c>
      <c r="J37" s="8">
        <v>5115</v>
      </c>
      <c r="K37" s="8">
        <v>2692</v>
      </c>
      <c r="L37" s="8">
        <v>9249</v>
      </c>
      <c r="M37" s="8">
        <v>536</v>
      </c>
      <c r="N37" s="8">
        <v>47789</v>
      </c>
    </row>
    <row r="38" spans="1:14" x14ac:dyDescent="0.2">
      <c r="A38" s="5" t="s">
        <v>56</v>
      </c>
      <c r="B38" s="8">
        <v>192468</v>
      </c>
      <c r="C38" s="8">
        <v>6479</v>
      </c>
      <c r="D38" s="8">
        <v>100</v>
      </c>
      <c r="E38" s="8">
        <v>1724</v>
      </c>
      <c r="F38" s="8">
        <v>6743</v>
      </c>
      <c r="G38" s="8">
        <v>263</v>
      </c>
      <c r="H38" s="8">
        <v>1906</v>
      </c>
      <c r="I38" s="8">
        <v>95258</v>
      </c>
      <c r="J38" s="8">
        <v>6948</v>
      </c>
      <c r="K38" s="8">
        <v>5356</v>
      </c>
      <c r="L38" s="8">
        <v>11150</v>
      </c>
      <c r="M38" s="8">
        <v>604</v>
      </c>
      <c r="N38" s="8">
        <v>55937</v>
      </c>
    </row>
    <row r="39" spans="1:14" x14ac:dyDescent="0.2">
      <c r="A39" s="5" t="s">
        <v>57</v>
      </c>
      <c r="B39" s="8">
        <v>154080</v>
      </c>
      <c r="C39" s="8">
        <v>4353</v>
      </c>
      <c r="D39" s="8">
        <v>86</v>
      </c>
      <c r="E39" s="8">
        <v>1452</v>
      </c>
      <c r="F39" s="8">
        <v>9356</v>
      </c>
      <c r="G39" s="8">
        <v>507</v>
      </c>
      <c r="H39" s="8">
        <v>1177</v>
      </c>
      <c r="I39" s="8">
        <v>69539</v>
      </c>
      <c r="J39" s="8">
        <v>6747</v>
      </c>
      <c r="K39" s="8">
        <v>4667</v>
      </c>
      <c r="L39" s="8">
        <v>11063</v>
      </c>
      <c r="M39" s="8">
        <v>552</v>
      </c>
      <c r="N39" s="8">
        <v>44581</v>
      </c>
    </row>
    <row r="40" spans="1:14" x14ac:dyDescent="0.2">
      <c r="A40" s="5" t="s">
        <v>58</v>
      </c>
      <c r="B40" s="8">
        <v>339595</v>
      </c>
      <c r="C40" s="8">
        <v>17608</v>
      </c>
      <c r="D40" s="8">
        <v>385</v>
      </c>
      <c r="E40" s="8">
        <v>6233</v>
      </c>
      <c r="F40" s="8">
        <v>6412</v>
      </c>
      <c r="G40" s="8">
        <v>595</v>
      </c>
      <c r="H40" s="8">
        <v>1942</v>
      </c>
      <c r="I40" s="8">
        <v>154808</v>
      </c>
      <c r="J40" s="8">
        <v>11725</v>
      </c>
      <c r="K40" s="8">
        <v>6906</v>
      </c>
      <c r="L40" s="8">
        <v>31113</v>
      </c>
      <c r="M40" s="8">
        <v>1489</v>
      </c>
      <c r="N40" s="8">
        <v>100379</v>
      </c>
    </row>
    <row r="41" spans="1:14" x14ac:dyDescent="0.2">
      <c r="A41" s="5" t="s">
        <v>35</v>
      </c>
      <c r="B41" s="8">
        <v>38881374</v>
      </c>
      <c r="C41" s="8">
        <v>1349568</v>
      </c>
      <c r="D41" s="8">
        <v>1027625</v>
      </c>
      <c r="E41" s="8">
        <v>1343684</v>
      </c>
      <c r="F41" s="8">
        <v>1886539</v>
      </c>
      <c r="G41" s="8">
        <v>131465</v>
      </c>
      <c r="H41" s="8">
        <v>206550</v>
      </c>
      <c r="I41" s="8">
        <v>14345882</v>
      </c>
      <c r="J41" s="8">
        <v>1264553</v>
      </c>
      <c r="K41" s="8">
        <v>742675</v>
      </c>
      <c r="L41" s="8">
        <v>2701453</v>
      </c>
      <c r="M41" s="8">
        <v>162727</v>
      </c>
      <c r="N41" s="8">
        <v>13718653</v>
      </c>
    </row>
    <row r="42" spans="1:14" x14ac:dyDescent="0.2">
      <c r="A42" s="5" t="s">
        <v>36</v>
      </c>
      <c r="B42" s="8">
        <v>32763892</v>
      </c>
      <c r="C42" s="8">
        <v>1146889</v>
      </c>
      <c r="D42" s="8">
        <v>125362</v>
      </c>
      <c r="E42" s="8">
        <v>810964</v>
      </c>
      <c r="F42" s="8">
        <v>1324934</v>
      </c>
      <c r="G42" s="8">
        <v>111151</v>
      </c>
      <c r="H42" s="8">
        <v>160574</v>
      </c>
      <c r="I42" s="8">
        <v>13225056</v>
      </c>
      <c r="J42" s="8">
        <v>1194894</v>
      </c>
      <c r="K42" s="8">
        <v>580970</v>
      </c>
      <c r="L42" s="8">
        <v>2348841</v>
      </c>
      <c r="M42" s="8">
        <v>134189</v>
      </c>
      <c r="N42" s="8">
        <v>11600068</v>
      </c>
    </row>
    <row r="44" spans="1:14" x14ac:dyDescent="0.2">
      <c r="A44" s="4" t="s">
        <v>61</v>
      </c>
    </row>
    <row r="45" spans="1:14" x14ac:dyDescent="0.2">
      <c r="A45" s="5"/>
      <c r="B45" s="8"/>
      <c r="C45" s="8"/>
      <c r="D45" s="8"/>
      <c r="E45" s="8"/>
      <c r="F45" s="8"/>
      <c r="G45" s="8"/>
      <c r="H45" s="8"/>
      <c r="I45" s="8"/>
      <c r="J45" s="8"/>
      <c r="K45" s="8"/>
      <c r="L45" s="8"/>
      <c r="M45" s="8"/>
    </row>
    <row r="46" spans="1:14" x14ac:dyDescent="0.2">
      <c r="A46" s="5"/>
      <c r="B46" s="8"/>
      <c r="C46" s="8"/>
      <c r="D46" s="8"/>
      <c r="E46" s="8"/>
      <c r="F46" s="8"/>
      <c r="G46" s="8"/>
      <c r="H46" s="8"/>
      <c r="I46" s="8"/>
      <c r="J46" s="8"/>
      <c r="K46" s="8"/>
      <c r="L46" s="8"/>
      <c r="M46" s="8"/>
    </row>
    <row r="47" spans="1:14" x14ac:dyDescent="0.2">
      <c r="A47" s="5"/>
      <c r="B47" s="8"/>
      <c r="C47" s="8"/>
      <c r="D47" s="8"/>
      <c r="E47" s="8"/>
      <c r="F47" s="8"/>
      <c r="G47" s="8"/>
      <c r="H47" s="8"/>
      <c r="I47" s="8"/>
      <c r="J47" s="8"/>
      <c r="K47" s="8"/>
      <c r="L47" s="8"/>
      <c r="M47" s="8"/>
    </row>
    <row r="48" spans="1:14" x14ac:dyDescent="0.2">
      <c r="A48" s="5"/>
      <c r="B48" s="8"/>
      <c r="C48" s="8"/>
      <c r="D48" s="8"/>
      <c r="E48" s="8"/>
      <c r="F48" s="8"/>
      <c r="G48" s="8"/>
      <c r="H48" s="8"/>
      <c r="I48" s="8"/>
      <c r="J48" s="8"/>
      <c r="K48" s="8"/>
      <c r="L48" s="8"/>
      <c r="M48" s="8"/>
    </row>
    <row r="49" spans="1:13" x14ac:dyDescent="0.2">
      <c r="A49" s="5"/>
      <c r="B49" s="8"/>
      <c r="C49" s="8"/>
      <c r="D49" s="8"/>
      <c r="E49" s="8"/>
      <c r="F49" s="8"/>
      <c r="G49" s="8"/>
      <c r="H49" s="8"/>
      <c r="I49" s="8"/>
      <c r="J49" s="8"/>
      <c r="K49" s="8"/>
      <c r="L49" s="8"/>
      <c r="M49" s="8"/>
    </row>
    <row r="50" spans="1:13" x14ac:dyDescent="0.2">
      <c r="A50" s="5"/>
      <c r="B50" s="8"/>
      <c r="C50" s="8"/>
      <c r="D50" s="8"/>
      <c r="E50" s="8"/>
      <c r="F50" s="8"/>
      <c r="G50" s="8"/>
      <c r="H50" s="8"/>
      <c r="I50" s="8"/>
      <c r="J50" s="8"/>
      <c r="K50" s="8"/>
      <c r="L50" s="8"/>
      <c r="M50" s="8"/>
    </row>
    <row r="51" spans="1:13" x14ac:dyDescent="0.2">
      <c r="A51" s="5"/>
      <c r="B51" s="8"/>
      <c r="C51" s="8"/>
      <c r="D51" s="8"/>
      <c r="E51" s="8"/>
      <c r="F51" s="8"/>
      <c r="G51" s="8"/>
      <c r="H51" s="8"/>
      <c r="I51" s="8"/>
      <c r="J51" s="8"/>
      <c r="K51" s="8"/>
      <c r="L51" s="8"/>
      <c r="M51" s="8"/>
    </row>
    <row r="52" spans="1:13" x14ac:dyDescent="0.2">
      <c r="A52" s="5"/>
      <c r="B52" s="8"/>
      <c r="C52" s="8"/>
      <c r="D52" s="8"/>
      <c r="E52" s="8"/>
      <c r="F52" s="8"/>
      <c r="G52" s="8"/>
      <c r="H52" s="8"/>
      <c r="I52" s="8"/>
      <c r="J52" s="8"/>
      <c r="K52" s="8"/>
      <c r="L52" s="8"/>
      <c r="M52" s="8"/>
    </row>
    <row r="53" spans="1:13" x14ac:dyDescent="0.2">
      <c r="A53" s="5"/>
      <c r="B53" s="8"/>
      <c r="C53" s="8"/>
      <c r="D53" s="8"/>
      <c r="E53" s="8"/>
      <c r="F53" s="8"/>
      <c r="G53" s="8"/>
      <c r="H53" s="8"/>
      <c r="I53" s="8"/>
      <c r="J53" s="8"/>
      <c r="K53" s="8"/>
      <c r="L53" s="8"/>
      <c r="M53" s="8"/>
    </row>
    <row r="54" spans="1:13" x14ac:dyDescent="0.2">
      <c r="A54" s="5"/>
      <c r="B54" s="8"/>
      <c r="C54" s="8"/>
      <c r="D54" s="8"/>
      <c r="E54" s="8"/>
      <c r="F54" s="8"/>
      <c r="G54" s="8"/>
      <c r="H54" s="8"/>
      <c r="I54" s="8"/>
      <c r="J54" s="8"/>
      <c r="K54" s="8"/>
      <c r="L54" s="8"/>
      <c r="M54" s="8"/>
    </row>
    <row r="56" spans="1:13" x14ac:dyDescent="0.2">
      <c r="A56" s="4"/>
    </row>
    <row r="57" spans="1:13" x14ac:dyDescent="0.2">
      <c r="A57" s="4"/>
    </row>
    <row r="58" spans="1:13" x14ac:dyDescent="0.2">
      <c r="A58" s="4"/>
    </row>
    <row r="61" spans="1:13" x14ac:dyDescent="0.2">
      <c r="A61" s="3"/>
    </row>
    <row r="62" spans="1:13" x14ac:dyDescent="0.2">
      <c r="A62" s="4"/>
    </row>
    <row r="64" spans="1:13" x14ac:dyDescent="0.2">
      <c r="A64" s="5"/>
      <c r="B64" s="5"/>
    </row>
    <row r="65" spans="1:13" x14ac:dyDescent="0.2">
      <c r="A65" s="5"/>
      <c r="B65" s="5"/>
    </row>
    <row r="66" spans="1:13" x14ac:dyDescent="0.2">
      <c r="A66" s="5"/>
      <c r="B66" s="5"/>
    </row>
    <row r="68" spans="1:13" x14ac:dyDescent="0.2">
      <c r="A68" s="6"/>
      <c r="B68" s="7"/>
      <c r="C68" s="7"/>
      <c r="D68" s="7"/>
      <c r="E68" s="7"/>
      <c r="F68" s="7"/>
      <c r="G68" s="7"/>
      <c r="H68" s="7"/>
      <c r="I68" s="7"/>
      <c r="J68" s="7"/>
      <c r="K68" s="7"/>
      <c r="L68" s="7"/>
      <c r="M68" s="7"/>
    </row>
    <row r="69" spans="1:13" x14ac:dyDescent="0.2">
      <c r="A69" s="5"/>
      <c r="B69" s="8"/>
      <c r="C69" s="8"/>
      <c r="D69" s="8"/>
      <c r="E69" s="8"/>
      <c r="F69" s="8"/>
      <c r="G69" s="8"/>
      <c r="H69" s="8"/>
      <c r="I69" s="8"/>
      <c r="J69" s="8"/>
      <c r="K69" s="8"/>
      <c r="L69" s="8"/>
      <c r="M69" s="8"/>
    </row>
    <row r="70" spans="1:13" x14ac:dyDescent="0.2">
      <c r="A70" s="5"/>
      <c r="B70" s="8"/>
      <c r="C70" s="8"/>
      <c r="D70" s="8"/>
      <c r="E70" s="8"/>
      <c r="F70" s="8"/>
      <c r="G70" s="8"/>
      <c r="H70" s="8"/>
      <c r="I70" s="8"/>
      <c r="J70" s="8"/>
      <c r="K70" s="8"/>
      <c r="L70" s="8"/>
      <c r="M70" s="8"/>
    </row>
    <row r="71" spans="1:13" x14ac:dyDescent="0.2">
      <c r="A71" s="5"/>
      <c r="B71" s="8"/>
      <c r="C71" s="8"/>
      <c r="D71" s="8"/>
      <c r="E71" s="8"/>
      <c r="F71" s="8"/>
      <c r="G71" s="8"/>
      <c r="H71" s="8"/>
      <c r="I71" s="8"/>
      <c r="J71" s="8"/>
      <c r="K71" s="8"/>
      <c r="L71" s="8"/>
      <c r="M71" s="8"/>
    </row>
    <row r="72" spans="1:13" x14ac:dyDescent="0.2">
      <c r="A72" s="5"/>
      <c r="B72" s="8"/>
      <c r="C72" s="8"/>
      <c r="D72" s="8"/>
      <c r="E72" s="8"/>
      <c r="F72" s="8"/>
      <c r="G72" s="8"/>
      <c r="H72" s="8"/>
      <c r="I72" s="8"/>
      <c r="J72" s="8"/>
      <c r="K72" s="8"/>
      <c r="L72" s="8"/>
      <c r="M72" s="8"/>
    </row>
    <row r="73" spans="1:13" x14ac:dyDescent="0.2">
      <c r="A73" s="5"/>
      <c r="B73" s="8"/>
      <c r="C73" s="8"/>
      <c r="D73" s="8"/>
      <c r="E73" s="8"/>
      <c r="F73" s="8"/>
      <c r="G73" s="8"/>
      <c r="H73" s="8"/>
      <c r="I73" s="8"/>
      <c r="J73" s="8"/>
      <c r="K73" s="8"/>
      <c r="L73" s="8"/>
      <c r="M73" s="8"/>
    </row>
    <row r="74" spans="1:13" x14ac:dyDescent="0.2">
      <c r="A74" s="5"/>
      <c r="B74" s="8"/>
      <c r="C74" s="8"/>
      <c r="D74" s="8"/>
      <c r="E74" s="8"/>
      <c r="F74" s="8"/>
      <c r="G74" s="8"/>
      <c r="H74" s="8"/>
      <c r="I74" s="8"/>
      <c r="J74" s="8"/>
      <c r="K74" s="8"/>
      <c r="L74" s="8"/>
      <c r="M74" s="8"/>
    </row>
    <row r="75" spans="1:13" x14ac:dyDescent="0.2">
      <c r="A75" s="5"/>
      <c r="B75" s="8"/>
      <c r="C75" s="8"/>
      <c r="D75" s="8"/>
      <c r="E75" s="8"/>
      <c r="F75" s="8"/>
      <c r="G75" s="8"/>
      <c r="H75" s="8"/>
      <c r="I75" s="8"/>
      <c r="J75" s="8"/>
      <c r="K75" s="8"/>
      <c r="L75" s="8"/>
      <c r="M75" s="8"/>
    </row>
    <row r="76" spans="1:13" x14ac:dyDescent="0.2">
      <c r="A76" s="5"/>
      <c r="B76" s="8"/>
      <c r="C76" s="8"/>
      <c r="D76" s="8"/>
      <c r="E76" s="8"/>
      <c r="F76" s="8"/>
      <c r="G76" s="8"/>
      <c r="H76" s="8"/>
      <c r="I76" s="8"/>
      <c r="J76" s="8"/>
      <c r="K76" s="8"/>
      <c r="L76" s="8"/>
      <c r="M76" s="8"/>
    </row>
    <row r="77" spans="1:13" x14ac:dyDescent="0.2">
      <c r="A77" s="5"/>
      <c r="B77" s="8"/>
      <c r="C77" s="8"/>
      <c r="D77" s="8"/>
      <c r="E77" s="8"/>
      <c r="F77" s="8"/>
      <c r="G77" s="8"/>
      <c r="H77" s="8"/>
      <c r="I77" s="8"/>
      <c r="J77" s="8"/>
      <c r="K77" s="8"/>
      <c r="L77" s="8"/>
      <c r="M77" s="8"/>
    </row>
    <row r="78" spans="1:13" x14ac:dyDescent="0.2">
      <c r="A78" s="5"/>
      <c r="B78" s="8"/>
      <c r="C78" s="8"/>
      <c r="D78" s="8"/>
      <c r="E78" s="8"/>
      <c r="F78" s="8"/>
      <c r="G78" s="8"/>
      <c r="H78" s="8"/>
      <c r="I78" s="8"/>
      <c r="J78" s="8"/>
      <c r="K78" s="8"/>
      <c r="L78" s="8"/>
      <c r="M78" s="8"/>
    </row>
    <row r="79" spans="1:13" x14ac:dyDescent="0.2">
      <c r="A79" s="5"/>
      <c r="B79" s="8"/>
      <c r="C79" s="8"/>
      <c r="D79" s="8"/>
      <c r="E79" s="8"/>
      <c r="F79" s="8"/>
      <c r="G79" s="8"/>
      <c r="H79" s="8"/>
      <c r="I79" s="8"/>
      <c r="J79" s="8"/>
      <c r="K79" s="8"/>
      <c r="L79" s="8"/>
      <c r="M79" s="8"/>
    </row>
    <row r="80" spans="1:13" x14ac:dyDescent="0.2">
      <c r="A80" s="5"/>
      <c r="B80" s="8"/>
      <c r="C80" s="8"/>
      <c r="D80" s="8"/>
      <c r="E80" s="8"/>
      <c r="F80" s="8"/>
      <c r="G80" s="8"/>
      <c r="H80" s="8"/>
      <c r="I80" s="8"/>
      <c r="J80" s="8"/>
      <c r="K80" s="8"/>
      <c r="L80" s="8"/>
      <c r="M80" s="8"/>
    </row>
    <row r="81" spans="1:13" x14ac:dyDescent="0.2">
      <c r="A81" s="5"/>
      <c r="B81" s="8"/>
      <c r="C81" s="8"/>
      <c r="D81" s="8"/>
      <c r="E81" s="8"/>
      <c r="F81" s="8"/>
      <c r="G81" s="8"/>
      <c r="H81" s="8"/>
      <c r="I81" s="8"/>
      <c r="J81" s="8"/>
      <c r="K81" s="8"/>
      <c r="L81" s="8"/>
      <c r="M81" s="8"/>
    </row>
    <row r="82" spans="1:13" x14ac:dyDescent="0.2">
      <c r="A82" s="5"/>
      <c r="B82" s="8"/>
      <c r="C82" s="8"/>
      <c r="D82" s="8"/>
      <c r="E82" s="8"/>
      <c r="F82" s="8"/>
      <c r="G82" s="8"/>
      <c r="H82" s="8"/>
      <c r="I82" s="8"/>
      <c r="J82" s="8"/>
      <c r="K82" s="8"/>
      <c r="L82" s="8"/>
      <c r="M82" s="8"/>
    </row>
    <row r="83" spans="1:13" x14ac:dyDescent="0.2">
      <c r="A83" s="5"/>
      <c r="B83" s="8"/>
      <c r="C83" s="8"/>
      <c r="D83" s="8"/>
      <c r="E83" s="8"/>
      <c r="F83" s="8"/>
      <c r="G83" s="8"/>
      <c r="H83" s="8"/>
      <c r="I83" s="8"/>
      <c r="J83" s="8"/>
      <c r="K83" s="8"/>
      <c r="L83" s="8"/>
      <c r="M83" s="8"/>
    </row>
    <row r="84" spans="1:13" x14ac:dyDescent="0.2">
      <c r="A84" s="5"/>
      <c r="B84" s="8"/>
      <c r="C84" s="8"/>
      <c r="D84" s="8"/>
      <c r="E84" s="8"/>
      <c r="F84" s="8"/>
      <c r="G84" s="8"/>
      <c r="H84" s="8"/>
      <c r="I84" s="8"/>
      <c r="J84" s="8"/>
      <c r="K84" s="8"/>
      <c r="L84" s="8"/>
      <c r="M84" s="8"/>
    </row>
    <row r="86" spans="1:13" x14ac:dyDescent="0.2">
      <c r="A86" s="4"/>
    </row>
    <row r="87" spans="1:13" x14ac:dyDescent="0.2">
      <c r="A87" s="4"/>
    </row>
    <row r="88" spans="1:13" x14ac:dyDescent="0.2">
      <c r="A88" s="4"/>
    </row>
    <row r="91" spans="1:13" x14ac:dyDescent="0.2">
      <c r="A91" s="3"/>
    </row>
    <row r="92" spans="1:13" x14ac:dyDescent="0.2">
      <c r="A92" s="4"/>
    </row>
    <row r="94" spans="1:13" x14ac:dyDescent="0.2">
      <c r="A94" s="5"/>
      <c r="B94" s="5"/>
    </row>
    <row r="95" spans="1:13" x14ac:dyDescent="0.2">
      <c r="A95" s="5"/>
      <c r="B95" s="5"/>
    </row>
    <row r="96" spans="1:13" x14ac:dyDescent="0.2">
      <c r="A96" s="5"/>
      <c r="B96" s="5"/>
    </row>
    <row r="98" spans="1:13" x14ac:dyDescent="0.2">
      <c r="A98" s="6"/>
      <c r="B98" s="7"/>
      <c r="C98" s="7"/>
      <c r="D98" s="7"/>
      <c r="E98" s="7"/>
      <c r="F98" s="7"/>
      <c r="G98" s="7"/>
      <c r="H98" s="7"/>
      <c r="I98" s="7"/>
      <c r="J98" s="7"/>
      <c r="K98" s="7"/>
      <c r="L98" s="7"/>
      <c r="M98" s="7"/>
    </row>
    <row r="99" spans="1:13" x14ac:dyDescent="0.2">
      <c r="A99" s="5"/>
      <c r="B99" s="8"/>
      <c r="C99" s="8"/>
      <c r="D99" s="8"/>
      <c r="E99" s="8"/>
      <c r="F99" s="8"/>
      <c r="G99" s="8"/>
      <c r="H99" s="8"/>
      <c r="I99" s="8"/>
      <c r="J99" s="8"/>
      <c r="K99" s="8"/>
      <c r="L99" s="8"/>
      <c r="M99" s="8"/>
    </row>
    <row r="100" spans="1:13" x14ac:dyDescent="0.2">
      <c r="A100" s="5"/>
      <c r="B100" s="8"/>
      <c r="C100" s="8"/>
      <c r="D100" s="8"/>
      <c r="E100" s="8"/>
      <c r="F100" s="8"/>
      <c r="G100" s="8"/>
      <c r="H100" s="8"/>
      <c r="I100" s="8"/>
      <c r="J100" s="8"/>
      <c r="K100" s="8"/>
      <c r="L100" s="8"/>
      <c r="M100" s="8"/>
    </row>
    <row r="101" spans="1:13" x14ac:dyDescent="0.2">
      <c r="A101" s="5"/>
      <c r="B101" s="8"/>
      <c r="C101" s="8"/>
      <c r="D101" s="8"/>
      <c r="E101" s="8"/>
      <c r="F101" s="8"/>
      <c r="G101" s="8"/>
      <c r="H101" s="8"/>
      <c r="I101" s="8"/>
      <c r="J101" s="8"/>
      <c r="K101" s="8"/>
      <c r="L101" s="8"/>
      <c r="M101" s="8"/>
    </row>
    <row r="102" spans="1:13" x14ac:dyDescent="0.2">
      <c r="A102" s="5"/>
      <c r="B102" s="8"/>
      <c r="C102" s="8"/>
      <c r="D102" s="8"/>
      <c r="E102" s="8"/>
      <c r="F102" s="8"/>
      <c r="G102" s="8"/>
      <c r="H102" s="8"/>
      <c r="I102" s="8"/>
      <c r="J102" s="8"/>
      <c r="K102" s="8"/>
      <c r="L102" s="8"/>
      <c r="M102" s="8"/>
    </row>
    <row r="103" spans="1:13" x14ac:dyDescent="0.2">
      <c r="A103" s="5"/>
      <c r="B103" s="8"/>
      <c r="C103" s="8"/>
      <c r="D103" s="8"/>
      <c r="E103" s="8"/>
      <c r="F103" s="8"/>
      <c r="G103" s="8"/>
      <c r="H103" s="8"/>
      <c r="I103" s="8"/>
      <c r="J103" s="8"/>
      <c r="K103" s="8"/>
      <c r="L103" s="8"/>
      <c r="M103" s="8"/>
    </row>
    <row r="104" spans="1:13" x14ac:dyDescent="0.2">
      <c r="A104" s="5"/>
      <c r="B104" s="8"/>
      <c r="C104" s="8"/>
      <c r="D104" s="8"/>
      <c r="E104" s="8"/>
      <c r="F104" s="8"/>
      <c r="G104" s="8"/>
      <c r="H104" s="8"/>
      <c r="I104" s="8"/>
      <c r="J104" s="8"/>
      <c r="K104" s="8"/>
      <c r="L104" s="8"/>
      <c r="M104" s="8"/>
    </row>
    <row r="105" spans="1:13" x14ac:dyDescent="0.2">
      <c r="A105" s="5"/>
      <c r="B105" s="8"/>
      <c r="C105" s="8"/>
      <c r="D105" s="8"/>
      <c r="E105" s="8"/>
      <c r="F105" s="8"/>
      <c r="G105" s="8"/>
      <c r="H105" s="8"/>
      <c r="I105" s="8"/>
      <c r="J105" s="8"/>
      <c r="K105" s="8"/>
      <c r="L105" s="8"/>
      <c r="M105" s="8"/>
    </row>
    <row r="106" spans="1:13" x14ac:dyDescent="0.2">
      <c r="A106" s="5"/>
      <c r="B106" s="8"/>
      <c r="C106" s="8"/>
      <c r="D106" s="8"/>
      <c r="E106" s="8"/>
      <c r="F106" s="8"/>
      <c r="G106" s="8"/>
      <c r="H106" s="8"/>
      <c r="I106" s="8"/>
      <c r="J106" s="8"/>
      <c r="K106" s="8"/>
      <c r="L106" s="8"/>
      <c r="M106" s="8"/>
    </row>
    <row r="107" spans="1:13" x14ac:dyDescent="0.2">
      <c r="A107" s="5"/>
      <c r="B107" s="8"/>
      <c r="C107" s="8"/>
      <c r="D107" s="8"/>
      <c r="E107" s="8"/>
      <c r="F107" s="8"/>
      <c r="G107" s="8"/>
      <c r="H107" s="8"/>
      <c r="I107" s="8"/>
      <c r="J107" s="8"/>
      <c r="K107" s="8"/>
      <c r="L107" s="8"/>
      <c r="M107" s="8"/>
    </row>
    <row r="108" spans="1:13" x14ac:dyDescent="0.2">
      <c r="A108" s="5"/>
      <c r="B108" s="8"/>
      <c r="C108" s="8"/>
      <c r="D108" s="8"/>
      <c r="E108" s="8"/>
      <c r="F108" s="8"/>
      <c r="G108" s="8"/>
      <c r="H108" s="8"/>
      <c r="I108" s="8"/>
      <c r="J108" s="8"/>
      <c r="K108" s="8"/>
      <c r="L108" s="8"/>
      <c r="M108" s="8"/>
    </row>
    <row r="109" spans="1:13" x14ac:dyDescent="0.2">
      <c r="A109" s="5"/>
      <c r="B109" s="8"/>
      <c r="C109" s="8"/>
      <c r="D109" s="8"/>
      <c r="E109" s="8"/>
      <c r="F109" s="8"/>
      <c r="G109" s="8"/>
      <c r="H109" s="8"/>
      <c r="I109" s="8"/>
      <c r="J109" s="8"/>
      <c r="K109" s="8"/>
      <c r="L109" s="8"/>
      <c r="M109" s="8"/>
    </row>
    <row r="110" spans="1:13" x14ac:dyDescent="0.2">
      <c r="A110" s="5"/>
      <c r="B110" s="8"/>
      <c r="C110" s="8"/>
      <c r="D110" s="8"/>
      <c r="E110" s="8"/>
      <c r="F110" s="8"/>
      <c r="G110" s="8"/>
      <c r="H110" s="8"/>
      <c r="I110" s="8"/>
      <c r="J110" s="8"/>
      <c r="K110" s="8"/>
      <c r="L110" s="8"/>
      <c r="M110" s="8"/>
    </row>
    <row r="111" spans="1:13" x14ac:dyDescent="0.2">
      <c r="A111" s="5"/>
      <c r="B111" s="8"/>
      <c r="C111" s="8"/>
      <c r="D111" s="8"/>
      <c r="E111" s="8"/>
      <c r="F111" s="8"/>
      <c r="G111" s="8"/>
      <c r="H111" s="8"/>
      <c r="I111" s="8"/>
      <c r="J111" s="8"/>
      <c r="K111" s="8"/>
      <c r="L111" s="8"/>
      <c r="M111" s="8"/>
    </row>
    <row r="112" spans="1:13" x14ac:dyDescent="0.2">
      <c r="A112" s="5"/>
      <c r="B112" s="8"/>
      <c r="C112" s="8"/>
      <c r="D112" s="8"/>
      <c r="E112" s="8"/>
      <c r="F112" s="8"/>
      <c r="G112" s="8"/>
      <c r="H112" s="8"/>
      <c r="I112" s="8"/>
      <c r="J112" s="8"/>
      <c r="K112" s="8"/>
      <c r="L112" s="8"/>
      <c r="M112" s="8"/>
    </row>
    <row r="113" spans="1:13" x14ac:dyDescent="0.2">
      <c r="A113" s="5"/>
      <c r="B113" s="8"/>
      <c r="C113" s="8"/>
      <c r="D113" s="8"/>
      <c r="E113" s="8"/>
      <c r="F113" s="8"/>
      <c r="G113" s="8"/>
      <c r="H113" s="8"/>
      <c r="I113" s="8"/>
      <c r="J113" s="8"/>
      <c r="K113" s="8"/>
      <c r="L113" s="8"/>
      <c r="M113" s="8"/>
    </row>
    <row r="114" spans="1:13" x14ac:dyDescent="0.2">
      <c r="A114" s="5"/>
      <c r="B114" s="8"/>
      <c r="C114" s="8"/>
      <c r="D114" s="8"/>
      <c r="E114" s="8"/>
      <c r="F114" s="8"/>
      <c r="G114" s="8"/>
      <c r="H114" s="8"/>
      <c r="I114" s="8"/>
      <c r="J114" s="8"/>
      <c r="K114" s="8"/>
      <c r="L114" s="8"/>
      <c r="M114" s="8"/>
    </row>
    <row r="116" spans="1:13" x14ac:dyDescent="0.2">
      <c r="A116" s="4"/>
    </row>
    <row r="117" spans="1:13" x14ac:dyDescent="0.2">
      <c r="A117" s="4"/>
    </row>
    <row r="118" spans="1:13" x14ac:dyDescent="0.2">
      <c r="A118" s="4"/>
    </row>
    <row r="121" spans="1:13" x14ac:dyDescent="0.2">
      <c r="A121" s="3"/>
    </row>
    <row r="122" spans="1:13" x14ac:dyDescent="0.2">
      <c r="A122" s="4"/>
    </row>
    <row r="124" spans="1:13" x14ac:dyDescent="0.2">
      <c r="A124" s="5"/>
      <c r="B124" s="5"/>
    </row>
    <row r="125" spans="1:13" x14ac:dyDescent="0.2">
      <c r="A125" s="5"/>
      <c r="B125" s="5"/>
    </row>
    <row r="126" spans="1:13" x14ac:dyDescent="0.2">
      <c r="A126" s="5"/>
      <c r="B126" s="5"/>
    </row>
    <row r="128" spans="1:13" x14ac:dyDescent="0.2">
      <c r="A128" s="6"/>
      <c r="B128" s="7"/>
      <c r="C128" s="7"/>
      <c r="D128" s="7"/>
      <c r="E128" s="7"/>
      <c r="F128" s="7"/>
      <c r="G128" s="7"/>
      <c r="H128" s="7"/>
      <c r="I128" s="7"/>
      <c r="J128" s="7"/>
      <c r="K128" s="7"/>
      <c r="L128" s="7"/>
      <c r="M128" s="7"/>
    </row>
    <row r="129" spans="1:13" x14ac:dyDescent="0.2">
      <c r="A129" s="5"/>
      <c r="B129" s="8"/>
      <c r="C129" s="8"/>
      <c r="D129" s="8"/>
      <c r="E129" s="8"/>
      <c r="F129" s="8"/>
      <c r="G129" s="8"/>
      <c r="H129" s="8"/>
      <c r="I129" s="8"/>
      <c r="J129" s="8"/>
      <c r="K129" s="8"/>
      <c r="L129" s="8"/>
      <c r="M129" s="8"/>
    </row>
    <row r="130" spans="1:13" x14ac:dyDescent="0.2">
      <c r="A130" s="5"/>
      <c r="B130" s="8"/>
      <c r="C130" s="8"/>
      <c r="D130" s="8"/>
      <c r="E130" s="8"/>
      <c r="F130" s="8"/>
      <c r="G130" s="8"/>
      <c r="H130" s="8"/>
      <c r="I130" s="8"/>
      <c r="J130" s="8"/>
      <c r="K130" s="8"/>
      <c r="L130" s="8"/>
      <c r="M130" s="8"/>
    </row>
    <row r="131" spans="1:13" x14ac:dyDescent="0.2">
      <c r="A131" s="5"/>
      <c r="B131" s="8"/>
      <c r="C131" s="8"/>
      <c r="D131" s="8"/>
      <c r="E131" s="8"/>
      <c r="F131" s="8"/>
      <c r="G131" s="8"/>
      <c r="H131" s="8"/>
      <c r="I131" s="8"/>
      <c r="J131" s="8"/>
      <c r="K131" s="8"/>
      <c r="L131" s="8"/>
      <c r="M131" s="8"/>
    </row>
    <row r="132" spans="1:13" x14ac:dyDescent="0.2">
      <c r="A132" s="5"/>
      <c r="B132" s="8"/>
      <c r="C132" s="8"/>
      <c r="D132" s="8"/>
      <c r="E132" s="8"/>
      <c r="F132" s="8"/>
      <c r="G132" s="8"/>
      <c r="H132" s="8"/>
      <c r="I132" s="8"/>
      <c r="J132" s="8"/>
      <c r="K132" s="8"/>
      <c r="L132" s="8"/>
      <c r="M132" s="8"/>
    </row>
    <row r="133" spans="1:13" x14ac:dyDescent="0.2">
      <c r="A133" s="5"/>
      <c r="B133" s="8"/>
      <c r="C133" s="8"/>
      <c r="D133" s="8"/>
      <c r="E133" s="8"/>
      <c r="F133" s="8"/>
      <c r="G133" s="8"/>
      <c r="H133" s="8"/>
      <c r="I133" s="8"/>
      <c r="J133" s="8"/>
      <c r="K133" s="8"/>
      <c r="L133" s="8"/>
      <c r="M133" s="8"/>
    </row>
    <row r="134" spans="1:13" x14ac:dyDescent="0.2">
      <c r="A134" s="5"/>
      <c r="B134" s="8"/>
      <c r="C134" s="8"/>
      <c r="D134" s="8"/>
      <c r="E134" s="8"/>
      <c r="F134" s="8"/>
      <c r="G134" s="8"/>
      <c r="H134" s="8"/>
      <c r="I134" s="8"/>
      <c r="J134" s="8"/>
      <c r="K134" s="8"/>
      <c r="L134" s="8"/>
      <c r="M134" s="8"/>
    </row>
    <row r="135" spans="1:13" x14ac:dyDescent="0.2">
      <c r="A135" s="5"/>
      <c r="B135" s="8"/>
      <c r="C135" s="8"/>
      <c r="D135" s="8"/>
      <c r="E135" s="8"/>
      <c r="F135" s="8"/>
      <c r="G135" s="8"/>
      <c r="H135" s="8"/>
      <c r="I135" s="8"/>
      <c r="J135" s="8"/>
      <c r="K135" s="8"/>
      <c r="L135" s="8"/>
      <c r="M135" s="8"/>
    </row>
    <row r="136" spans="1:13" x14ac:dyDescent="0.2">
      <c r="A136" s="5"/>
      <c r="B136" s="8"/>
      <c r="C136" s="8"/>
      <c r="D136" s="8"/>
      <c r="E136" s="8"/>
      <c r="F136" s="8"/>
      <c r="G136" s="8"/>
      <c r="H136" s="8"/>
      <c r="I136" s="8"/>
      <c r="J136" s="8"/>
      <c r="K136" s="8"/>
      <c r="L136" s="8"/>
      <c r="M136" s="8"/>
    </row>
    <row r="137" spans="1:13" x14ac:dyDescent="0.2">
      <c r="A137" s="5"/>
      <c r="B137" s="8"/>
      <c r="C137" s="8"/>
      <c r="D137" s="8"/>
      <c r="E137" s="8"/>
      <c r="F137" s="8"/>
      <c r="G137" s="8"/>
      <c r="H137" s="8"/>
      <c r="I137" s="8"/>
      <c r="J137" s="8"/>
      <c r="K137" s="8"/>
      <c r="L137" s="8"/>
      <c r="M137" s="8"/>
    </row>
    <row r="138" spans="1:13" x14ac:dyDescent="0.2">
      <c r="A138" s="5"/>
      <c r="B138" s="8"/>
      <c r="C138" s="8"/>
      <c r="D138" s="8"/>
      <c r="E138" s="8"/>
      <c r="F138" s="8"/>
      <c r="G138" s="8"/>
      <c r="H138" s="8"/>
      <c r="I138" s="8"/>
      <c r="J138" s="8"/>
      <c r="K138" s="8"/>
      <c r="L138" s="8"/>
      <c r="M138" s="8"/>
    </row>
    <row r="139" spans="1:13" x14ac:dyDescent="0.2">
      <c r="A139" s="5"/>
      <c r="B139" s="8"/>
      <c r="C139" s="8"/>
      <c r="D139" s="8"/>
      <c r="E139" s="8"/>
      <c r="F139" s="8"/>
      <c r="G139" s="8"/>
      <c r="H139" s="8"/>
      <c r="I139" s="8"/>
      <c r="J139" s="8"/>
      <c r="K139" s="8"/>
      <c r="L139" s="8"/>
      <c r="M139" s="8"/>
    </row>
    <row r="140" spans="1:13" x14ac:dyDescent="0.2">
      <c r="A140" s="5"/>
      <c r="B140" s="8"/>
      <c r="C140" s="8"/>
      <c r="D140" s="8"/>
      <c r="E140" s="8"/>
      <c r="F140" s="8"/>
      <c r="G140" s="8"/>
      <c r="H140" s="8"/>
      <c r="I140" s="8"/>
      <c r="J140" s="8"/>
      <c r="K140" s="8"/>
      <c r="L140" s="8"/>
      <c r="M140" s="8"/>
    </row>
    <row r="141" spans="1:13" x14ac:dyDescent="0.2">
      <c r="A141" s="5"/>
      <c r="B141" s="8"/>
      <c r="C141" s="8"/>
      <c r="D141" s="8"/>
      <c r="E141" s="8"/>
      <c r="F141" s="8"/>
      <c r="G141" s="8"/>
      <c r="H141" s="8"/>
      <c r="I141" s="8"/>
      <c r="J141" s="8"/>
      <c r="K141" s="8"/>
      <c r="L141" s="8"/>
      <c r="M141" s="8"/>
    </row>
    <row r="142" spans="1:13" x14ac:dyDescent="0.2">
      <c r="A142" s="5"/>
      <c r="B142" s="8"/>
      <c r="C142" s="8"/>
      <c r="D142" s="8"/>
      <c r="E142" s="8"/>
      <c r="F142" s="8"/>
      <c r="G142" s="8"/>
      <c r="H142" s="8"/>
      <c r="I142" s="8"/>
      <c r="J142" s="8"/>
      <c r="K142" s="8"/>
      <c r="L142" s="8"/>
      <c r="M142" s="8"/>
    </row>
    <row r="143" spans="1:13" x14ac:dyDescent="0.2">
      <c r="A143" s="5"/>
      <c r="B143" s="8"/>
      <c r="C143" s="8"/>
      <c r="D143" s="8"/>
      <c r="E143" s="8"/>
      <c r="F143" s="8"/>
      <c r="G143" s="8"/>
      <c r="H143" s="8"/>
      <c r="I143" s="8"/>
      <c r="J143" s="8"/>
      <c r="K143" s="8"/>
      <c r="L143" s="8"/>
      <c r="M143" s="8"/>
    </row>
    <row r="144" spans="1:13" x14ac:dyDescent="0.2">
      <c r="A144" s="5"/>
      <c r="B144" s="8"/>
      <c r="C144" s="8"/>
      <c r="D144" s="8"/>
      <c r="E144" s="8"/>
      <c r="F144" s="8"/>
      <c r="G144" s="8"/>
      <c r="H144" s="8"/>
      <c r="I144" s="8"/>
      <c r="J144" s="8"/>
      <c r="K144" s="8"/>
      <c r="L144" s="8"/>
      <c r="M144" s="8"/>
    </row>
    <row r="146" spans="1:13" x14ac:dyDescent="0.2">
      <c r="A146" s="4"/>
    </row>
    <row r="147" spans="1:13" x14ac:dyDescent="0.2">
      <c r="A147" s="4"/>
    </row>
    <row r="148" spans="1:13" x14ac:dyDescent="0.2">
      <c r="A148" s="4"/>
    </row>
    <row r="151" spans="1:13" x14ac:dyDescent="0.2">
      <c r="A151" s="3"/>
    </row>
    <row r="152" spans="1:13" x14ac:dyDescent="0.2">
      <c r="A152" s="4"/>
    </row>
    <row r="154" spans="1:13" x14ac:dyDescent="0.2">
      <c r="A154" s="5"/>
      <c r="B154" s="5"/>
    </row>
    <row r="155" spans="1:13" x14ac:dyDescent="0.2">
      <c r="A155" s="5"/>
      <c r="B155" s="5"/>
    </row>
    <row r="156" spans="1:13" x14ac:dyDescent="0.2">
      <c r="A156" s="5"/>
      <c r="B156" s="5"/>
    </row>
    <row r="158" spans="1:13" x14ac:dyDescent="0.2">
      <c r="A158" s="6"/>
      <c r="B158" s="7"/>
      <c r="C158" s="7"/>
      <c r="D158" s="7"/>
      <c r="E158" s="7"/>
      <c r="F158" s="7"/>
      <c r="G158" s="7"/>
      <c r="H158" s="7"/>
      <c r="I158" s="7"/>
      <c r="J158" s="7"/>
      <c r="K158" s="7"/>
      <c r="L158" s="7"/>
      <c r="M158" s="7"/>
    </row>
    <row r="159" spans="1:13" x14ac:dyDescent="0.2">
      <c r="A159" s="5"/>
      <c r="B159" s="8"/>
      <c r="C159" s="8"/>
      <c r="D159" s="8"/>
      <c r="E159" s="8"/>
      <c r="F159" s="8"/>
      <c r="G159" s="8"/>
      <c r="H159" s="8"/>
      <c r="I159" s="8"/>
      <c r="J159" s="8"/>
      <c r="K159" s="8"/>
      <c r="L159" s="8"/>
      <c r="M159" s="8"/>
    </row>
    <row r="160" spans="1:13" x14ac:dyDescent="0.2">
      <c r="A160" s="5"/>
      <c r="B160" s="8"/>
      <c r="C160" s="8"/>
      <c r="D160" s="8"/>
      <c r="E160" s="8"/>
      <c r="F160" s="8"/>
      <c r="G160" s="8"/>
      <c r="H160" s="8"/>
      <c r="I160" s="8"/>
      <c r="J160" s="8"/>
      <c r="K160" s="8"/>
      <c r="L160" s="8"/>
      <c r="M160" s="8"/>
    </row>
    <row r="161" spans="1:13" x14ac:dyDescent="0.2">
      <c r="A161" s="5"/>
      <c r="B161" s="8"/>
      <c r="C161" s="8"/>
      <c r="D161" s="8"/>
      <c r="E161" s="8"/>
      <c r="F161" s="8"/>
      <c r="G161" s="8"/>
      <c r="H161" s="8"/>
      <c r="I161" s="8"/>
      <c r="J161" s="8"/>
      <c r="K161" s="8"/>
      <c r="L161" s="8"/>
      <c r="M161" s="8"/>
    </row>
    <row r="162" spans="1:13" x14ac:dyDescent="0.2">
      <c r="A162" s="5"/>
      <c r="B162" s="8"/>
      <c r="C162" s="8"/>
      <c r="D162" s="8"/>
      <c r="E162" s="8"/>
      <c r="F162" s="8"/>
      <c r="G162" s="8"/>
      <c r="H162" s="8"/>
      <c r="I162" s="8"/>
      <c r="J162" s="8"/>
      <c r="K162" s="8"/>
      <c r="L162" s="8"/>
      <c r="M162" s="8"/>
    </row>
    <row r="163" spans="1:13" x14ac:dyDescent="0.2">
      <c r="A163" s="5"/>
      <c r="B163" s="8"/>
      <c r="C163" s="8"/>
      <c r="D163" s="8"/>
      <c r="E163" s="8"/>
      <c r="F163" s="8"/>
      <c r="G163" s="8"/>
      <c r="H163" s="8"/>
      <c r="I163" s="8"/>
      <c r="J163" s="8"/>
      <c r="K163" s="8"/>
      <c r="L163" s="8"/>
      <c r="M163" s="8"/>
    </row>
    <row r="164" spans="1:13" x14ac:dyDescent="0.2">
      <c r="A164" s="5"/>
      <c r="B164" s="8"/>
      <c r="C164" s="8"/>
      <c r="D164" s="8"/>
      <c r="E164" s="8"/>
      <c r="F164" s="8"/>
      <c r="G164" s="8"/>
      <c r="H164" s="8"/>
      <c r="I164" s="8"/>
      <c r="J164" s="8"/>
      <c r="K164" s="8"/>
      <c r="L164" s="8"/>
      <c r="M164" s="8"/>
    </row>
    <row r="165" spans="1:13" x14ac:dyDescent="0.2">
      <c r="A165" s="5"/>
      <c r="B165" s="8"/>
      <c r="C165" s="8"/>
      <c r="D165" s="8"/>
      <c r="E165" s="8"/>
      <c r="F165" s="8"/>
      <c r="G165" s="8"/>
      <c r="H165" s="8"/>
      <c r="I165" s="8"/>
      <c r="J165" s="8"/>
      <c r="K165" s="8"/>
      <c r="L165" s="8"/>
      <c r="M165" s="8"/>
    </row>
    <row r="166" spans="1:13" x14ac:dyDescent="0.2">
      <c r="A166" s="5"/>
      <c r="B166" s="8"/>
      <c r="C166" s="8"/>
      <c r="D166" s="8"/>
      <c r="E166" s="8"/>
      <c r="F166" s="8"/>
      <c r="G166" s="8"/>
      <c r="H166" s="8"/>
      <c r="I166" s="8"/>
      <c r="J166" s="8"/>
      <c r="K166" s="8"/>
      <c r="L166" s="8"/>
      <c r="M166" s="8"/>
    </row>
    <row r="167" spans="1:13" x14ac:dyDescent="0.2">
      <c r="A167" s="5"/>
      <c r="B167" s="8"/>
      <c r="C167" s="8"/>
      <c r="D167" s="8"/>
      <c r="E167" s="8"/>
      <c r="F167" s="8"/>
      <c r="G167" s="8"/>
      <c r="H167" s="8"/>
      <c r="I167" s="8"/>
      <c r="J167" s="8"/>
      <c r="K167" s="8"/>
      <c r="L167" s="8"/>
      <c r="M167" s="8"/>
    </row>
    <row r="168" spans="1:13" x14ac:dyDescent="0.2">
      <c r="A168" s="5"/>
      <c r="B168" s="8"/>
      <c r="C168" s="8"/>
      <c r="D168" s="8"/>
      <c r="E168" s="8"/>
      <c r="F168" s="8"/>
      <c r="G168" s="8"/>
      <c r="H168" s="8"/>
      <c r="I168" s="8"/>
      <c r="J168" s="8"/>
      <c r="K168" s="8"/>
      <c r="L168" s="8"/>
      <c r="M168" s="8"/>
    </row>
    <row r="169" spans="1:13" x14ac:dyDescent="0.2">
      <c r="A169" s="5"/>
      <c r="B169" s="8"/>
      <c r="C169" s="8"/>
      <c r="D169" s="8"/>
      <c r="E169" s="8"/>
      <c r="F169" s="8"/>
      <c r="G169" s="8"/>
      <c r="H169" s="8"/>
      <c r="I169" s="8"/>
      <c r="J169" s="8"/>
      <c r="K169" s="8"/>
      <c r="L169" s="8"/>
      <c r="M169" s="8"/>
    </row>
    <row r="170" spans="1:13" x14ac:dyDescent="0.2">
      <c r="A170" s="5"/>
      <c r="B170" s="8"/>
      <c r="C170" s="8"/>
      <c r="D170" s="8"/>
      <c r="E170" s="8"/>
      <c r="F170" s="8"/>
      <c r="G170" s="8"/>
      <c r="H170" s="8"/>
      <c r="I170" s="8"/>
      <c r="J170" s="8"/>
      <c r="K170" s="8"/>
      <c r="L170" s="8"/>
      <c r="M170" s="8"/>
    </row>
    <row r="171" spans="1:13" x14ac:dyDescent="0.2">
      <c r="A171" s="5"/>
      <c r="B171" s="8"/>
      <c r="C171" s="8"/>
      <c r="D171" s="8"/>
      <c r="E171" s="8"/>
      <c r="F171" s="8"/>
      <c r="G171" s="8"/>
      <c r="H171" s="8"/>
      <c r="I171" s="8"/>
      <c r="J171" s="8"/>
      <c r="K171" s="8"/>
      <c r="L171" s="8"/>
      <c r="M171" s="8"/>
    </row>
    <row r="172" spans="1:13" x14ac:dyDescent="0.2">
      <c r="A172" s="5"/>
      <c r="B172" s="8"/>
      <c r="C172" s="8"/>
      <c r="D172" s="8"/>
      <c r="E172" s="8"/>
      <c r="F172" s="8"/>
      <c r="G172" s="8"/>
      <c r="H172" s="8"/>
      <c r="I172" s="8"/>
      <c r="J172" s="8"/>
      <c r="K172" s="8"/>
      <c r="L172" s="8"/>
      <c r="M172" s="8"/>
    </row>
    <row r="173" spans="1:13" x14ac:dyDescent="0.2">
      <c r="A173" s="5"/>
      <c r="B173" s="8"/>
      <c r="C173" s="8"/>
      <c r="D173" s="8"/>
      <c r="E173" s="8"/>
      <c r="F173" s="8"/>
      <c r="G173" s="8"/>
      <c r="H173" s="8"/>
      <c r="I173" s="8"/>
      <c r="J173" s="8"/>
      <c r="K173" s="8"/>
      <c r="L173" s="8"/>
      <c r="M173" s="8"/>
    </row>
    <row r="174" spans="1:13" x14ac:dyDescent="0.2">
      <c r="A174" s="5"/>
      <c r="B174" s="8"/>
      <c r="C174" s="8"/>
      <c r="D174" s="8"/>
      <c r="E174" s="8"/>
      <c r="F174" s="8"/>
      <c r="G174" s="8"/>
      <c r="H174" s="8"/>
      <c r="I174" s="8"/>
      <c r="J174" s="8"/>
      <c r="K174" s="8"/>
      <c r="L174" s="8"/>
      <c r="M174" s="8"/>
    </row>
    <row r="176" spans="1:13" x14ac:dyDescent="0.2">
      <c r="A176" s="4"/>
    </row>
    <row r="177" spans="1:13" x14ac:dyDescent="0.2">
      <c r="A177" s="4"/>
    </row>
    <row r="178" spans="1:13" x14ac:dyDescent="0.2">
      <c r="A178" s="4"/>
    </row>
    <row r="181" spans="1:13" x14ac:dyDescent="0.2">
      <c r="A181" s="3"/>
    </row>
    <row r="182" spans="1:13" x14ac:dyDescent="0.2">
      <c r="A182" s="4"/>
    </row>
    <row r="184" spans="1:13" x14ac:dyDescent="0.2">
      <c r="A184" s="5"/>
      <c r="B184" s="5"/>
    </row>
    <row r="185" spans="1:13" x14ac:dyDescent="0.2">
      <c r="A185" s="5"/>
      <c r="B185" s="5"/>
    </row>
    <row r="186" spans="1:13" x14ac:dyDescent="0.2">
      <c r="A186" s="5"/>
      <c r="B186" s="5"/>
    </row>
    <row r="188" spans="1:13" x14ac:dyDescent="0.2">
      <c r="A188" s="6"/>
      <c r="B188" s="7"/>
      <c r="C188" s="7"/>
      <c r="D188" s="7"/>
      <c r="E188" s="7"/>
      <c r="F188" s="7"/>
      <c r="G188" s="7"/>
      <c r="H188" s="7"/>
      <c r="I188" s="7"/>
      <c r="J188" s="7"/>
      <c r="K188" s="7"/>
      <c r="L188" s="7"/>
      <c r="M188" s="7"/>
    </row>
    <row r="189" spans="1:13" x14ac:dyDescent="0.2">
      <c r="A189" s="5"/>
      <c r="B189" s="8"/>
      <c r="C189" s="8"/>
      <c r="D189" s="8"/>
      <c r="E189" s="8"/>
      <c r="F189" s="8"/>
      <c r="G189" s="8"/>
      <c r="H189" s="8"/>
      <c r="I189" s="8"/>
      <c r="J189" s="8"/>
      <c r="K189" s="8"/>
      <c r="L189" s="8"/>
      <c r="M189" s="8"/>
    </row>
    <row r="190" spans="1:13" x14ac:dyDescent="0.2">
      <c r="A190" s="5"/>
      <c r="B190" s="8"/>
      <c r="C190" s="8"/>
      <c r="D190" s="8"/>
      <c r="E190" s="8"/>
      <c r="F190" s="8"/>
      <c r="G190" s="8"/>
      <c r="H190" s="8"/>
      <c r="I190" s="8"/>
      <c r="J190" s="8"/>
      <c r="K190" s="8"/>
      <c r="L190" s="8"/>
      <c r="M190" s="8"/>
    </row>
    <row r="191" spans="1:13" x14ac:dyDescent="0.2">
      <c r="A191" s="5"/>
      <c r="B191" s="8"/>
      <c r="C191" s="8"/>
      <c r="D191" s="8"/>
      <c r="E191" s="8"/>
      <c r="F191" s="8"/>
      <c r="G191" s="8"/>
      <c r="H191" s="8"/>
      <c r="I191" s="8"/>
      <c r="J191" s="8"/>
      <c r="K191" s="8"/>
      <c r="L191" s="8"/>
      <c r="M191" s="8"/>
    </row>
    <row r="192" spans="1:13" x14ac:dyDescent="0.2">
      <c r="A192" s="5"/>
      <c r="B192" s="8"/>
      <c r="C192" s="8"/>
      <c r="D192" s="8"/>
      <c r="E192" s="8"/>
      <c r="F192" s="8"/>
      <c r="G192" s="8"/>
      <c r="H192" s="8"/>
      <c r="I192" s="8"/>
      <c r="J192" s="8"/>
      <c r="K192" s="8"/>
      <c r="L192" s="8"/>
      <c r="M192" s="8"/>
    </row>
    <row r="193" spans="1:13" x14ac:dyDescent="0.2">
      <c r="A193" s="5"/>
      <c r="B193" s="8"/>
      <c r="C193" s="8"/>
      <c r="D193" s="8"/>
      <c r="E193" s="8"/>
      <c r="F193" s="8"/>
      <c r="G193" s="8"/>
      <c r="H193" s="8"/>
      <c r="I193" s="8"/>
      <c r="J193" s="8"/>
      <c r="K193" s="8"/>
      <c r="L193" s="8"/>
      <c r="M193" s="8"/>
    </row>
    <row r="194" spans="1:13" x14ac:dyDescent="0.2">
      <c r="A194" s="5"/>
      <c r="B194" s="8"/>
      <c r="C194" s="8"/>
      <c r="D194" s="8"/>
      <c r="E194" s="8"/>
      <c r="F194" s="8"/>
      <c r="G194" s="8"/>
      <c r="H194" s="8"/>
      <c r="I194" s="8"/>
      <c r="J194" s="8"/>
      <c r="K194" s="8"/>
      <c r="L194" s="8"/>
      <c r="M194" s="8"/>
    </row>
    <row r="195" spans="1:13" x14ac:dyDescent="0.2">
      <c r="A195" s="5"/>
      <c r="B195" s="8"/>
      <c r="C195" s="8"/>
      <c r="D195" s="8"/>
      <c r="E195" s="8"/>
      <c r="F195" s="8"/>
      <c r="G195" s="8"/>
      <c r="H195" s="8"/>
      <c r="I195" s="8"/>
      <c r="J195" s="8"/>
      <c r="K195" s="8"/>
      <c r="L195" s="8"/>
      <c r="M195" s="8"/>
    </row>
    <row r="196" spans="1:13" x14ac:dyDescent="0.2">
      <c r="A196" s="5"/>
      <c r="B196" s="8"/>
      <c r="C196" s="8"/>
      <c r="D196" s="8"/>
      <c r="E196" s="8"/>
      <c r="F196" s="8"/>
      <c r="G196" s="8"/>
      <c r="H196" s="8"/>
      <c r="I196" s="8"/>
      <c r="J196" s="8"/>
      <c r="K196" s="8"/>
      <c r="L196" s="8"/>
      <c r="M196" s="8"/>
    </row>
    <row r="197" spans="1:13" x14ac:dyDescent="0.2">
      <c r="A197" s="5"/>
      <c r="B197" s="8"/>
      <c r="C197" s="8"/>
      <c r="D197" s="8"/>
      <c r="E197" s="8"/>
      <c r="F197" s="8"/>
      <c r="G197" s="8"/>
      <c r="H197" s="8"/>
      <c r="I197" s="8"/>
      <c r="J197" s="8"/>
      <c r="K197" s="8"/>
      <c r="L197" s="8"/>
      <c r="M197" s="8"/>
    </row>
    <row r="198" spans="1:13" x14ac:dyDescent="0.2">
      <c r="A198" s="5"/>
      <c r="B198" s="8"/>
      <c r="C198" s="8"/>
      <c r="D198" s="8"/>
      <c r="E198" s="8"/>
      <c r="F198" s="8"/>
      <c r="G198" s="8"/>
      <c r="H198" s="8"/>
      <c r="I198" s="8"/>
      <c r="J198" s="8"/>
      <c r="K198" s="8"/>
      <c r="L198" s="8"/>
      <c r="M198" s="8"/>
    </row>
    <row r="199" spans="1:13" x14ac:dyDescent="0.2">
      <c r="A199" s="5"/>
      <c r="B199" s="8"/>
      <c r="C199" s="8"/>
      <c r="D199" s="8"/>
      <c r="E199" s="8"/>
      <c r="F199" s="8"/>
      <c r="G199" s="8"/>
      <c r="H199" s="8"/>
      <c r="I199" s="8"/>
      <c r="J199" s="8"/>
      <c r="K199" s="8"/>
      <c r="L199" s="8"/>
      <c r="M199" s="8"/>
    </row>
    <row r="200" spans="1:13" x14ac:dyDescent="0.2">
      <c r="A200" s="5"/>
      <c r="B200" s="8"/>
      <c r="C200" s="8"/>
      <c r="D200" s="8"/>
      <c r="E200" s="8"/>
      <c r="F200" s="8"/>
      <c r="G200" s="8"/>
      <c r="H200" s="8"/>
      <c r="I200" s="8"/>
      <c r="J200" s="8"/>
      <c r="K200" s="8"/>
      <c r="L200" s="8"/>
      <c r="M200" s="8"/>
    </row>
    <row r="201" spans="1:13" x14ac:dyDescent="0.2">
      <c r="A201" s="5"/>
      <c r="B201" s="8"/>
      <c r="C201" s="8"/>
      <c r="D201" s="8"/>
      <c r="E201" s="8"/>
      <c r="F201" s="8"/>
      <c r="G201" s="8"/>
      <c r="H201" s="8"/>
      <c r="I201" s="8"/>
      <c r="J201" s="8"/>
      <c r="K201" s="8"/>
      <c r="L201" s="8"/>
      <c r="M201" s="8"/>
    </row>
    <row r="202" spans="1:13" x14ac:dyDescent="0.2">
      <c r="A202" s="5"/>
      <c r="B202" s="8"/>
      <c r="C202" s="8"/>
      <c r="D202" s="8"/>
      <c r="E202" s="8"/>
      <c r="F202" s="8"/>
      <c r="G202" s="8"/>
      <c r="H202" s="8"/>
      <c r="I202" s="8"/>
      <c r="J202" s="8"/>
      <c r="K202" s="8"/>
      <c r="L202" s="8"/>
      <c r="M202" s="8"/>
    </row>
    <row r="203" spans="1:13" x14ac:dyDescent="0.2">
      <c r="A203" s="5"/>
      <c r="B203" s="8"/>
      <c r="C203" s="8"/>
      <c r="D203" s="8"/>
      <c r="E203" s="8"/>
      <c r="F203" s="8"/>
      <c r="G203" s="8"/>
      <c r="H203" s="8"/>
      <c r="I203" s="8"/>
      <c r="J203" s="8"/>
      <c r="K203" s="8"/>
      <c r="L203" s="8"/>
      <c r="M203" s="8"/>
    </row>
    <row r="204" spans="1:13" x14ac:dyDescent="0.2">
      <c r="A204" s="5"/>
      <c r="B204" s="8"/>
      <c r="C204" s="8"/>
      <c r="D204" s="8"/>
      <c r="E204" s="8"/>
      <c r="F204" s="8"/>
      <c r="G204" s="8"/>
      <c r="H204" s="8"/>
      <c r="I204" s="8"/>
      <c r="J204" s="8"/>
      <c r="K204" s="8"/>
      <c r="L204" s="8"/>
      <c r="M204" s="8"/>
    </row>
    <row r="206" spans="1:13" x14ac:dyDescent="0.2">
      <c r="A206" s="4"/>
    </row>
    <row r="207" spans="1:13" x14ac:dyDescent="0.2">
      <c r="A207" s="4"/>
    </row>
    <row r="208" spans="1:13" x14ac:dyDescent="0.2">
      <c r="A208" s="4"/>
    </row>
    <row r="211" spans="1:13" x14ac:dyDescent="0.2">
      <c r="A211" s="3"/>
    </row>
    <row r="212" spans="1:13" x14ac:dyDescent="0.2">
      <c r="A212" s="4"/>
    </row>
    <row r="214" spans="1:13" x14ac:dyDescent="0.2">
      <c r="A214" s="5"/>
      <c r="B214" s="5"/>
    </row>
    <row r="215" spans="1:13" x14ac:dyDescent="0.2">
      <c r="A215" s="5"/>
      <c r="B215" s="5"/>
    </row>
    <row r="216" spans="1:13" x14ac:dyDescent="0.2">
      <c r="A216" s="5"/>
      <c r="B216" s="5"/>
    </row>
    <row r="218" spans="1:13" x14ac:dyDescent="0.2">
      <c r="A218" s="6"/>
      <c r="B218" s="7"/>
      <c r="C218" s="7"/>
      <c r="D218" s="7"/>
      <c r="E218" s="7"/>
      <c r="F218" s="7"/>
      <c r="G218" s="7"/>
      <c r="H218" s="7"/>
      <c r="I218" s="7"/>
      <c r="J218" s="7"/>
      <c r="K218" s="7"/>
      <c r="L218" s="7"/>
      <c r="M218" s="7"/>
    </row>
    <row r="219" spans="1:13" x14ac:dyDescent="0.2">
      <c r="A219" s="5"/>
      <c r="B219" s="8"/>
      <c r="C219" s="8"/>
      <c r="D219" s="8"/>
      <c r="E219" s="8"/>
      <c r="F219" s="8"/>
      <c r="G219" s="8"/>
      <c r="H219" s="8"/>
      <c r="I219" s="8"/>
      <c r="J219" s="8"/>
      <c r="K219" s="8"/>
      <c r="L219" s="8"/>
      <c r="M219" s="8"/>
    </row>
    <row r="220" spans="1:13" x14ac:dyDescent="0.2">
      <c r="A220" s="5"/>
      <c r="B220" s="8"/>
      <c r="C220" s="8"/>
      <c r="D220" s="8"/>
      <c r="E220" s="8"/>
      <c r="F220" s="8"/>
      <c r="G220" s="8"/>
      <c r="H220" s="8"/>
      <c r="I220" s="8"/>
      <c r="J220" s="8"/>
      <c r="K220" s="8"/>
      <c r="L220" s="8"/>
      <c r="M220" s="8"/>
    </row>
    <row r="221" spans="1:13" x14ac:dyDescent="0.2">
      <c r="A221" s="5"/>
      <c r="B221" s="8"/>
      <c r="C221" s="8"/>
      <c r="D221" s="8"/>
      <c r="E221" s="8"/>
      <c r="F221" s="8"/>
      <c r="G221" s="8"/>
      <c r="H221" s="8"/>
      <c r="I221" s="8"/>
      <c r="J221" s="8"/>
      <c r="K221" s="8"/>
      <c r="L221" s="8"/>
      <c r="M221" s="8"/>
    </row>
    <row r="222" spans="1:13" x14ac:dyDescent="0.2">
      <c r="A222" s="5"/>
      <c r="B222" s="8"/>
      <c r="C222" s="8"/>
      <c r="D222" s="8"/>
      <c r="E222" s="8"/>
      <c r="F222" s="8"/>
      <c r="G222" s="8"/>
      <c r="H222" s="8"/>
      <c r="I222" s="8"/>
      <c r="J222" s="8"/>
      <c r="K222" s="8"/>
      <c r="L222" s="8"/>
      <c r="M222" s="8"/>
    </row>
    <row r="223" spans="1:13" x14ac:dyDescent="0.2">
      <c r="A223" s="5"/>
      <c r="B223" s="8"/>
      <c r="C223" s="8"/>
      <c r="D223" s="8"/>
      <c r="E223" s="8"/>
      <c r="F223" s="8"/>
      <c r="G223" s="8"/>
      <c r="H223" s="8"/>
      <c r="I223" s="8"/>
      <c r="J223" s="8"/>
      <c r="K223" s="8"/>
      <c r="L223" s="8"/>
      <c r="M223" s="8"/>
    </row>
    <row r="224" spans="1:13" x14ac:dyDescent="0.2">
      <c r="A224" s="5"/>
      <c r="B224" s="8"/>
      <c r="C224" s="8"/>
      <c r="D224" s="8"/>
      <c r="E224" s="8"/>
      <c r="F224" s="8"/>
      <c r="G224" s="8"/>
      <c r="H224" s="8"/>
      <c r="I224" s="8"/>
      <c r="J224" s="8"/>
      <c r="K224" s="8"/>
      <c r="L224" s="8"/>
      <c r="M224" s="8"/>
    </row>
    <row r="225" spans="1:13" x14ac:dyDescent="0.2">
      <c r="A225" s="5"/>
      <c r="B225" s="8"/>
      <c r="C225" s="8"/>
      <c r="D225" s="8"/>
      <c r="E225" s="8"/>
      <c r="F225" s="8"/>
      <c r="G225" s="8"/>
      <c r="H225" s="8"/>
      <c r="I225" s="8"/>
      <c r="J225" s="8"/>
      <c r="K225" s="8"/>
      <c r="L225" s="8"/>
      <c r="M225" s="8"/>
    </row>
    <row r="226" spans="1:13" x14ac:dyDescent="0.2">
      <c r="A226" s="5"/>
      <c r="B226" s="8"/>
      <c r="C226" s="8"/>
      <c r="D226" s="8"/>
      <c r="E226" s="8"/>
      <c r="F226" s="8"/>
      <c r="G226" s="8"/>
      <c r="H226" s="8"/>
      <c r="I226" s="8"/>
      <c r="J226" s="8"/>
      <c r="K226" s="8"/>
      <c r="L226" s="8"/>
      <c r="M226" s="8"/>
    </row>
    <row r="227" spans="1:13" x14ac:dyDescent="0.2">
      <c r="A227" s="5"/>
      <c r="B227" s="8"/>
      <c r="C227" s="8"/>
      <c r="D227" s="8"/>
      <c r="E227" s="8"/>
      <c r="F227" s="8"/>
      <c r="G227" s="8"/>
      <c r="H227" s="8"/>
      <c r="I227" s="8"/>
      <c r="J227" s="8"/>
      <c r="K227" s="8"/>
      <c r="L227" s="8"/>
      <c r="M227" s="8"/>
    </row>
    <row r="228" spans="1:13" x14ac:dyDescent="0.2">
      <c r="A228" s="5"/>
      <c r="B228" s="8"/>
      <c r="C228" s="8"/>
      <c r="D228" s="8"/>
      <c r="E228" s="8"/>
      <c r="F228" s="8"/>
      <c r="G228" s="8"/>
      <c r="H228" s="8"/>
      <c r="I228" s="8"/>
      <c r="J228" s="8"/>
      <c r="K228" s="8"/>
      <c r="L228" s="8"/>
      <c r="M228" s="8"/>
    </row>
    <row r="229" spans="1:13" x14ac:dyDescent="0.2">
      <c r="A229" s="5"/>
      <c r="B229" s="8"/>
      <c r="C229" s="8"/>
      <c r="D229" s="8"/>
      <c r="E229" s="8"/>
      <c r="F229" s="8"/>
      <c r="G229" s="8"/>
      <c r="H229" s="8"/>
      <c r="I229" s="8"/>
      <c r="J229" s="8"/>
      <c r="K229" s="8"/>
      <c r="L229" s="8"/>
      <c r="M229" s="8"/>
    </row>
    <row r="230" spans="1:13" x14ac:dyDescent="0.2">
      <c r="A230" s="5"/>
      <c r="B230" s="8"/>
      <c r="C230" s="8"/>
      <c r="D230" s="8"/>
      <c r="E230" s="8"/>
      <c r="F230" s="8"/>
      <c r="G230" s="8"/>
      <c r="H230" s="8"/>
      <c r="I230" s="8"/>
      <c r="J230" s="8"/>
      <c r="K230" s="8"/>
      <c r="L230" s="8"/>
      <c r="M230" s="8"/>
    </row>
    <row r="231" spans="1:13" x14ac:dyDescent="0.2">
      <c r="A231" s="5"/>
      <c r="B231" s="8"/>
      <c r="C231" s="8"/>
      <c r="D231" s="8"/>
      <c r="E231" s="8"/>
      <c r="F231" s="8"/>
      <c r="G231" s="8"/>
      <c r="H231" s="8"/>
      <c r="I231" s="8"/>
      <c r="J231" s="8"/>
      <c r="K231" s="8"/>
      <c r="L231" s="8"/>
      <c r="M231" s="8"/>
    </row>
    <row r="232" spans="1:13" x14ac:dyDescent="0.2">
      <c r="A232" s="5"/>
      <c r="B232" s="8"/>
      <c r="C232" s="8"/>
      <c r="D232" s="8"/>
      <c r="E232" s="8"/>
      <c r="F232" s="8"/>
      <c r="G232" s="8"/>
      <c r="H232" s="8"/>
      <c r="I232" s="8"/>
      <c r="J232" s="8"/>
      <c r="K232" s="8"/>
      <c r="L232" s="8"/>
      <c r="M232" s="8"/>
    </row>
    <row r="233" spans="1:13" x14ac:dyDescent="0.2">
      <c r="A233" s="5"/>
      <c r="B233" s="8"/>
      <c r="C233" s="8"/>
      <c r="D233" s="8"/>
      <c r="E233" s="8"/>
      <c r="F233" s="8"/>
      <c r="G233" s="8"/>
      <c r="H233" s="8"/>
      <c r="I233" s="8"/>
      <c r="J233" s="8"/>
      <c r="K233" s="8"/>
      <c r="L233" s="8"/>
      <c r="M233" s="8"/>
    </row>
    <row r="234" spans="1:13" x14ac:dyDescent="0.2">
      <c r="A234" s="5"/>
      <c r="B234" s="8"/>
      <c r="C234" s="8"/>
      <c r="D234" s="8"/>
      <c r="E234" s="8"/>
      <c r="F234" s="8"/>
      <c r="G234" s="8"/>
      <c r="H234" s="8"/>
      <c r="I234" s="8"/>
      <c r="J234" s="8"/>
      <c r="K234" s="8"/>
      <c r="L234" s="8"/>
      <c r="M234" s="8"/>
    </row>
    <row r="236" spans="1:13" x14ac:dyDescent="0.2">
      <c r="A236" s="4"/>
    </row>
    <row r="237" spans="1:13" x14ac:dyDescent="0.2">
      <c r="A237" s="4"/>
    </row>
    <row r="238" spans="1:13" x14ac:dyDescent="0.2">
      <c r="A238" s="4"/>
    </row>
    <row r="241" spans="1:13" x14ac:dyDescent="0.2">
      <c r="A241" s="3"/>
    </row>
    <row r="242" spans="1:13" x14ac:dyDescent="0.2">
      <c r="A242" s="4"/>
    </row>
    <row r="244" spans="1:13" x14ac:dyDescent="0.2">
      <c r="A244" s="5"/>
      <c r="B244" s="5"/>
    </row>
    <row r="245" spans="1:13" x14ac:dyDescent="0.2">
      <c r="A245" s="5"/>
      <c r="B245" s="5"/>
    </row>
    <row r="246" spans="1:13" x14ac:dyDescent="0.2">
      <c r="A246" s="5"/>
      <c r="B246" s="5"/>
    </row>
    <row r="248" spans="1:13" x14ac:dyDescent="0.2">
      <c r="A248" s="6"/>
      <c r="B248" s="7"/>
      <c r="C248" s="7"/>
      <c r="D248" s="7"/>
      <c r="E248" s="7"/>
      <c r="F248" s="7"/>
      <c r="G248" s="7"/>
      <c r="H248" s="7"/>
      <c r="I248" s="7"/>
      <c r="J248" s="7"/>
      <c r="K248" s="7"/>
      <c r="L248" s="7"/>
      <c r="M248" s="7"/>
    </row>
    <row r="249" spans="1:13" x14ac:dyDescent="0.2">
      <c r="A249" s="5"/>
      <c r="B249" s="8"/>
      <c r="C249" s="8"/>
      <c r="D249" s="8"/>
      <c r="E249" s="8"/>
      <c r="F249" s="8"/>
      <c r="G249" s="8"/>
      <c r="H249" s="8"/>
      <c r="I249" s="8"/>
      <c r="J249" s="8"/>
      <c r="K249" s="8"/>
      <c r="L249" s="8"/>
      <c r="M249" s="8"/>
    </row>
    <row r="250" spans="1:13" x14ac:dyDescent="0.2">
      <c r="A250" s="5"/>
      <c r="B250" s="8"/>
      <c r="C250" s="8"/>
      <c r="D250" s="8"/>
      <c r="E250" s="8"/>
      <c r="F250" s="8"/>
      <c r="G250" s="8"/>
      <c r="H250" s="8"/>
      <c r="I250" s="8"/>
      <c r="J250" s="8"/>
      <c r="K250" s="8"/>
      <c r="L250" s="8"/>
      <c r="M250" s="8"/>
    </row>
    <row r="251" spans="1:13" x14ac:dyDescent="0.2">
      <c r="A251" s="5"/>
      <c r="B251" s="8"/>
      <c r="C251" s="8"/>
      <c r="D251" s="8"/>
      <c r="E251" s="8"/>
      <c r="F251" s="8"/>
      <c r="G251" s="8"/>
      <c r="H251" s="8"/>
      <c r="I251" s="8"/>
      <c r="J251" s="8"/>
      <c r="K251" s="8"/>
      <c r="L251" s="8"/>
      <c r="M251" s="8"/>
    </row>
    <row r="252" spans="1:13" x14ac:dyDescent="0.2">
      <c r="A252" s="5"/>
      <c r="B252" s="8"/>
      <c r="C252" s="8"/>
      <c r="D252" s="8"/>
      <c r="E252" s="8"/>
      <c r="F252" s="8"/>
      <c r="G252" s="8"/>
      <c r="H252" s="8"/>
      <c r="I252" s="8"/>
      <c r="J252" s="8"/>
      <c r="K252" s="8"/>
      <c r="L252" s="8"/>
      <c r="M252" s="8"/>
    </row>
    <row r="253" spans="1:13" x14ac:dyDescent="0.2">
      <c r="A253" s="5"/>
      <c r="B253" s="8"/>
      <c r="C253" s="8"/>
      <c r="D253" s="8"/>
      <c r="E253" s="8"/>
      <c r="F253" s="8"/>
      <c r="G253" s="8"/>
      <c r="H253" s="8"/>
      <c r="I253" s="8"/>
      <c r="J253" s="8"/>
      <c r="K253" s="8"/>
      <c r="L253" s="8"/>
      <c r="M253" s="8"/>
    </row>
    <row r="254" spans="1:13" x14ac:dyDescent="0.2">
      <c r="A254" s="5"/>
      <c r="B254" s="8"/>
      <c r="C254" s="8"/>
      <c r="D254" s="8"/>
      <c r="E254" s="8"/>
      <c r="F254" s="8"/>
      <c r="G254" s="8"/>
      <c r="H254" s="8"/>
      <c r="I254" s="8"/>
      <c r="J254" s="8"/>
      <c r="K254" s="8"/>
      <c r="L254" s="8"/>
      <c r="M254" s="8"/>
    </row>
    <row r="255" spans="1:13" x14ac:dyDescent="0.2">
      <c r="A255" s="5"/>
      <c r="B255" s="8"/>
      <c r="C255" s="8"/>
      <c r="D255" s="8"/>
      <c r="E255" s="8"/>
      <c r="F255" s="8"/>
      <c r="G255" s="8"/>
      <c r="H255" s="8"/>
      <c r="I255" s="8"/>
      <c r="J255" s="8"/>
      <c r="K255" s="8"/>
      <c r="L255" s="8"/>
      <c r="M255" s="8"/>
    </row>
    <row r="256" spans="1:13" x14ac:dyDescent="0.2">
      <c r="A256" s="5"/>
      <c r="B256" s="8"/>
      <c r="C256" s="8"/>
      <c r="D256" s="8"/>
      <c r="E256" s="8"/>
      <c r="F256" s="8"/>
      <c r="G256" s="8"/>
      <c r="H256" s="8"/>
      <c r="I256" s="8"/>
      <c r="J256" s="8"/>
      <c r="K256" s="8"/>
      <c r="L256" s="8"/>
      <c r="M256" s="8"/>
    </row>
    <row r="257" spans="1:13" x14ac:dyDescent="0.2">
      <c r="A257" s="5"/>
      <c r="B257" s="8"/>
      <c r="C257" s="8"/>
      <c r="D257" s="8"/>
      <c r="E257" s="8"/>
      <c r="F257" s="8"/>
      <c r="G257" s="8"/>
      <c r="H257" s="8"/>
      <c r="I257" s="8"/>
      <c r="J257" s="8"/>
      <c r="K257" s="8"/>
      <c r="L257" s="8"/>
      <c r="M257" s="8"/>
    </row>
    <row r="258" spans="1:13" x14ac:dyDescent="0.2">
      <c r="A258" s="5"/>
      <c r="B258" s="8"/>
      <c r="C258" s="8"/>
      <c r="D258" s="8"/>
      <c r="E258" s="8"/>
      <c r="F258" s="8"/>
      <c r="G258" s="8"/>
      <c r="H258" s="8"/>
      <c r="I258" s="8"/>
      <c r="J258" s="8"/>
      <c r="K258" s="8"/>
      <c r="L258" s="8"/>
      <c r="M258" s="8"/>
    </row>
    <row r="259" spans="1:13" x14ac:dyDescent="0.2">
      <c r="A259" s="5"/>
      <c r="B259" s="8"/>
      <c r="C259" s="8"/>
      <c r="D259" s="8"/>
      <c r="E259" s="8"/>
      <c r="F259" s="8"/>
      <c r="G259" s="8"/>
      <c r="H259" s="8"/>
      <c r="I259" s="8"/>
      <c r="J259" s="8"/>
      <c r="K259" s="8"/>
      <c r="L259" s="8"/>
      <c r="M259" s="8"/>
    </row>
    <row r="260" spans="1:13" x14ac:dyDescent="0.2">
      <c r="A260" s="5"/>
      <c r="B260" s="8"/>
      <c r="C260" s="8"/>
      <c r="D260" s="8"/>
      <c r="E260" s="8"/>
      <c r="F260" s="8"/>
      <c r="G260" s="8"/>
      <c r="H260" s="8"/>
      <c r="I260" s="8"/>
      <c r="J260" s="8"/>
      <c r="K260" s="8"/>
      <c r="L260" s="8"/>
      <c r="M260" s="8"/>
    </row>
    <row r="261" spans="1:13" x14ac:dyDescent="0.2">
      <c r="A261" s="5"/>
      <c r="B261" s="8"/>
      <c r="C261" s="8"/>
      <c r="D261" s="8"/>
      <c r="E261" s="8"/>
      <c r="F261" s="8"/>
      <c r="G261" s="8"/>
      <c r="H261" s="8"/>
      <c r="I261" s="8"/>
      <c r="J261" s="8"/>
      <c r="K261" s="8"/>
      <c r="L261" s="8"/>
      <c r="M261" s="8"/>
    </row>
    <row r="262" spans="1:13" x14ac:dyDescent="0.2">
      <c r="A262" s="5"/>
      <c r="B262" s="8"/>
      <c r="C262" s="8"/>
      <c r="D262" s="8"/>
      <c r="E262" s="8"/>
      <c r="F262" s="8"/>
      <c r="G262" s="8"/>
      <c r="H262" s="8"/>
      <c r="I262" s="8"/>
      <c r="J262" s="8"/>
      <c r="K262" s="8"/>
      <c r="L262" s="8"/>
      <c r="M262" s="8"/>
    </row>
    <row r="263" spans="1:13" x14ac:dyDescent="0.2">
      <c r="A263" s="5"/>
      <c r="B263" s="8"/>
      <c r="C263" s="8"/>
      <c r="D263" s="8"/>
      <c r="E263" s="8"/>
      <c r="F263" s="8"/>
      <c r="G263" s="8"/>
      <c r="H263" s="8"/>
      <c r="I263" s="8"/>
      <c r="J263" s="8"/>
      <c r="K263" s="8"/>
      <c r="L263" s="8"/>
      <c r="M263" s="8"/>
    </row>
    <row r="264" spans="1:13" x14ac:dyDescent="0.2">
      <c r="A264" s="5"/>
      <c r="B264" s="8"/>
      <c r="C264" s="8"/>
      <c r="D264" s="8"/>
      <c r="E264" s="8"/>
      <c r="F264" s="8"/>
      <c r="G264" s="8"/>
      <c r="H264" s="8"/>
      <c r="I264" s="8"/>
      <c r="J264" s="8"/>
      <c r="K264" s="8"/>
      <c r="L264" s="8"/>
      <c r="M264" s="8"/>
    </row>
    <row r="266" spans="1:13" x14ac:dyDescent="0.2">
      <c r="A266" s="4"/>
    </row>
    <row r="267" spans="1:13" x14ac:dyDescent="0.2">
      <c r="A267" s="4"/>
    </row>
    <row r="268" spans="1:13" x14ac:dyDescent="0.2">
      <c r="A268" s="4"/>
    </row>
    <row r="271" spans="1:13" x14ac:dyDescent="0.2">
      <c r="A271" s="3"/>
    </row>
    <row r="272" spans="1:13" x14ac:dyDescent="0.2">
      <c r="A272" s="4"/>
    </row>
    <row r="274" spans="1:13" x14ac:dyDescent="0.2">
      <c r="A274" s="5"/>
      <c r="B274" s="5"/>
    </row>
    <row r="275" spans="1:13" x14ac:dyDescent="0.2">
      <c r="A275" s="5"/>
      <c r="B275" s="5"/>
    </row>
    <row r="276" spans="1:13" x14ac:dyDescent="0.2">
      <c r="A276" s="5"/>
      <c r="B276" s="5"/>
    </row>
    <row r="278" spans="1:13" x14ac:dyDescent="0.2">
      <c r="A278" s="6"/>
      <c r="B278" s="7"/>
      <c r="C278" s="7"/>
      <c r="D278" s="7"/>
      <c r="E278" s="7"/>
      <c r="F278" s="7"/>
      <c r="G278" s="7"/>
      <c r="H278" s="7"/>
      <c r="I278" s="7"/>
      <c r="J278" s="7"/>
      <c r="K278" s="7"/>
      <c r="L278" s="7"/>
      <c r="M278" s="7"/>
    </row>
    <row r="279" spans="1:13" x14ac:dyDescent="0.2">
      <c r="A279" s="5"/>
      <c r="B279" s="8"/>
      <c r="C279" s="8"/>
      <c r="D279" s="8"/>
      <c r="E279" s="8"/>
      <c r="F279" s="8"/>
      <c r="G279" s="8"/>
      <c r="H279" s="8"/>
      <c r="I279" s="8"/>
      <c r="J279" s="8"/>
      <c r="K279" s="8"/>
      <c r="L279" s="8"/>
      <c r="M279" s="8"/>
    </row>
    <row r="280" spans="1:13" x14ac:dyDescent="0.2">
      <c r="A280" s="5"/>
      <c r="B280" s="8"/>
      <c r="C280" s="8"/>
      <c r="D280" s="8"/>
      <c r="E280" s="8"/>
      <c r="F280" s="8"/>
      <c r="G280" s="8"/>
      <c r="H280" s="8"/>
      <c r="I280" s="8"/>
      <c r="J280" s="8"/>
      <c r="K280" s="8"/>
      <c r="L280" s="8"/>
      <c r="M280" s="8"/>
    </row>
    <row r="281" spans="1:13" x14ac:dyDescent="0.2">
      <c r="A281" s="5"/>
      <c r="B281" s="8"/>
      <c r="C281" s="8"/>
      <c r="D281" s="8"/>
      <c r="E281" s="8"/>
      <c r="F281" s="8"/>
      <c r="G281" s="8"/>
      <c r="H281" s="8"/>
      <c r="I281" s="8"/>
      <c r="J281" s="8"/>
      <c r="K281" s="8"/>
      <c r="L281" s="8"/>
      <c r="M281" s="8"/>
    </row>
    <row r="282" spans="1:13" x14ac:dyDescent="0.2">
      <c r="A282" s="5"/>
      <c r="B282" s="8"/>
      <c r="C282" s="8"/>
      <c r="D282" s="8"/>
      <c r="E282" s="8"/>
      <c r="F282" s="8"/>
      <c r="G282" s="8"/>
      <c r="H282" s="8"/>
      <c r="I282" s="8"/>
      <c r="J282" s="8"/>
      <c r="K282" s="8"/>
      <c r="L282" s="8"/>
      <c r="M282" s="8"/>
    </row>
    <row r="283" spans="1:13" x14ac:dyDescent="0.2">
      <c r="A283" s="5"/>
      <c r="B283" s="8"/>
      <c r="C283" s="8"/>
      <c r="D283" s="8"/>
      <c r="E283" s="8"/>
      <c r="F283" s="8"/>
      <c r="G283" s="8"/>
      <c r="H283" s="8"/>
      <c r="I283" s="8"/>
      <c r="J283" s="8"/>
      <c r="K283" s="8"/>
      <c r="L283" s="8"/>
      <c r="M283" s="8"/>
    </row>
    <row r="284" spans="1:13" x14ac:dyDescent="0.2">
      <c r="A284" s="5"/>
      <c r="B284" s="8"/>
      <c r="C284" s="8"/>
      <c r="D284" s="8"/>
      <c r="E284" s="8"/>
      <c r="F284" s="8"/>
      <c r="G284" s="8"/>
      <c r="H284" s="8"/>
      <c r="I284" s="8"/>
      <c r="J284" s="8"/>
      <c r="K284" s="8"/>
      <c r="L284" s="8"/>
      <c r="M284" s="8"/>
    </row>
    <row r="285" spans="1:13" x14ac:dyDescent="0.2">
      <c r="A285" s="5"/>
      <c r="B285" s="8"/>
      <c r="C285" s="8"/>
      <c r="D285" s="8"/>
      <c r="E285" s="8"/>
      <c r="F285" s="8"/>
      <c r="G285" s="8"/>
      <c r="H285" s="8"/>
      <c r="I285" s="8"/>
      <c r="J285" s="8"/>
      <c r="K285" s="8"/>
      <c r="L285" s="8"/>
      <c r="M285" s="8"/>
    </row>
    <row r="286" spans="1:13" x14ac:dyDescent="0.2">
      <c r="A286" s="5"/>
      <c r="B286" s="8"/>
      <c r="C286" s="8"/>
      <c r="D286" s="8"/>
      <c r="E286" s="8"/>
      <c r="F286" s="8"/>
      <c r="G286" s="8"/>
      <c r="H286" s="8"/>
      <c r="I286" s="8"/>
      <c r="J286" s="8"/>
      <c r="K286" s="8"/>
      <c r="L286" s="8"/>
      <c r="M286" s="8"/>
    </row>
    <row r="287" spans="1:13" x14ac:dyDescent="0.2">
      <c r="A287" s="5"/>
      <c r="B287" s="8"/>
      <c r="C287" s="8"/>
      <c r="D287" s="8"/>
      <c r="E287" s="8"/>
      <c r="F287" s="8"/>
      <c r="G287" s="8"/>
      <c r="H287" s="8"/>
      <c r="I287" s="8"/>
      <c r="J287" s="8"/>
      <c r="K287" s="8"/>
      <c r="L287" s="8"/>
      <c r="M287" s="8"/>
    </row>
    <row r="288" spans="1:13" x14ac:dyDescent="0.2">
      <c r="A288" s="5"/>
      <c r="B288" s="8"/>
      <c r="C288" s="8"/>
      <c r="D288" s="8"/>
      <c r="E288" s="8"/>
      <c r="F288" s="8"/>
      <c r="G288" s="8"/>
      <c r="H288" s="8"/>
      <c r="I288" s="8"/>
      <c r="J288" s="8"/>
      <c r="K288" s="8"/>
      <c r="L288" s="8"/>
      <c r="M288" s="8"/>
    </row>
    <row r="289" spans="1:13" x14ac:dyDescent="0.2">
      <c r="A289" s="5"/>
      <c r="B289" s="8"/>
      <c r="C289" s="8"/>
      <c r="D289" s="8"/>
      <c r="E289" s="8"/>
      <c r="F289" s="8"/>
      <c r="G289" s="8"/>
      <c r="H289" s="8"/>
      <c r="I289" s="8"/>
      <c r="J289" s="8"/>
      <c r="K289" s="8"/>
      <c r="L289" s="8"/>
      <c r="M289" s="8"/>
    </row>
    <row r="290" spans="1:13" x14ac:dyDescent="0.2">
      <c r="A290" s="5"/>
      <c r="B290" s="8"/>
      <c r="C290" s="8"/>
      <c r="D290" s="8"/>
      <c r="E290" s="8"/>
      <c r="F290" s="8"/>
      <c r="G290" s="8"/>
      <c r="H290" s="8"/>
      <c r="I290" s="8"/>
      <c r="J290" s="8"/>
      <c r="K290" s="8"/>
      <c r="L290" s="8"/>
      <c r="M290" s="8"/>
    </row>
    <row r="291" spans="1:13" x14ac:dyDescent="0.2">
      <c r="A291" s="5"/>
      <c r="B291" s="8"/>
      <c r="C291" s="8"/>
      <c r="D291" s="8"/>
      <c r="E291" s="8"/>
      <c r="F291" s="8"/>
      <c r="G291" s="8"/>
      <c r="H291" s="8"/>
      <c r="I291" s="8"/>
      <c r="J291" s="8"/>
      <c r="K291" s="8"/>
      <c r="L291" s="8"/>
      <c r="M291" s="8"/>
    </row>
    <row r="292" spans="1:13" x14ac:dyDescent="0.2">
      <c r="A292" s="5"/>
      <c r="B292" s="8"/>
      <c r="C292" s="8"/>
      <c r="D292" s="8"/>
      <c r="E292" s="8"/>
      <c r="F292" s="8"/>
      <c r="G292" s="8"/>
      <c r="H292" s="8"/>
      <c r="I292" s="8"/>
      <c r="J292" s="8"/>
      <c r="K292" s="8"/>
      <c r="L292" s="8"/>
      <c r="M292" s="8"/>
    </row>
    <row r="293" spans="1:13" x14ac:dyDescent="0.2">
      <c r="A293" s="5"/>
      <c r="B293" s="8"/>
      <c r="C293" s="8"/>
      <c r="D293" s="8"/>
      <c r="E293" s="8"/>
      <c r="F293" s="8"/>
      <c r="G293" s="8"/>
      <c r="H293" s="8"/>
      <c r="I293" s="8"/>
      <c r="J293" s="8"/>
      <c r="K293" s="8"/>
      <c r="L293" s="8"/>
      <c r="M293" s="8"/>
    </row>
    <row r="294" spans="1:13" x14ac:dyDescent="0.2">
      <c r="A294" s="5"/>
      <c r="B294" s="8"/>
      <c r="C294" s="8"/>
      <c r="D294" s="8"/>
      <c r="E294" s="8"/>
      <c r="F294" s="8"/>
      <c r="G294" s="8"/>
      <c r="H294" s="8"/>
      <c r="I294" s="8"/>
      <c r="J294" s="8"/>
      <c r="K294" s="8"/>
      <c r="L294" s="8"/>
      <c r="M294" s="8"/>
    </row>
    <row r="296" spans="1:13" x14ac:dyDescent="0.2">
      <c r="A296" s="4"/>
    </row>
    <row r="297" spans="1:13" x14ac:dyDescent="0.2">
      <c r="A297" s="4"/>
    </row>
    <row r="298" spans="1:13" x14ac:dyDescent="0.2">
      <c r="A298" s="4"/>
    </row>
    <row r="301" spans="1:13" x14ac:dyDescent="0.2">
      <c r="A301" s="3"/>
    </row>
    <row r="302" spans="1:13" x14ac:dyDescent="0.2">
      <c r="A302" s="4"/>
    </row>
    <row r="304" spans="1:13" x14ac:dyDescent="0.2">
      <c r="A304" s="5"/>
      <c r="B304" s="5"/>
    </row>
    <row r="305" spans="1:13" x14ac:dyDescent="0.2">
      <c r="A305" s="5"/>
      <c r="B305" s="5"/>
    </row>
    <row r="306" spans="1:13" x14ac:dyDescent="0.2">
      <c r="A306" s="5"/>
      <c r="B306" s="5"/>
    </row>
    <row r="308" spans="1:13" x14ac:dyDescent="0.2">
      <c r="A308" s="6"/>
      <c r="B308" s="7"/>
      <c r="C308" s="7"/>
      <c r="D308" s="7"/>
      <c r="E308" s="7"/>
      <c r="F308" s="7"/>
      <c r="G308" s="7"/>
      <c r="H308" s="7"/>
      <c r="I308" s="7"/>
      <c r="J308" s="7"/>
      <c r="K308" s="7"/>
      <c r="L308" s="7"/>
      <c r="M308" s="7"/>
    </row>
    <row r="309" spans="1:13" x14ac:dyDescent="0.2">
      <c r="A309" s="5"/>
      <c r="B309" s="8"/>
      <c r="C309" s="8"/>
      <c r="D309" s="8"/>
      <c r="E309" s="8"/>
      <c r="F309" s="8"/>
      <c r="G309" s="8"/>
      <c r="H309" s="8"/>
      <c r="I309" s="8"/>
      <c r="J309" s="8"/>
      <c r="K309" s="8"/>
      <c r="L309" s="8"/>
      <c r="M309" s="8"/>
    </row>
    <row r="310" spans="1:13" x14ac:dyDescent="0.2">
      <c r="A310" s="5"/>
      <c r="B310" s="8"/>
      <c r="C310" s="8"/>
      <c r="D310" s="8"/>
      <c r="E310" s="8"/>
      <c r="F310" s="8"/>
      <c r="G310" s="8"/>
      <c r="H310" s="8"/>
      <c r="I310" s="8"/>
      <c r="J310" s="8"/>
      <c r="K310" s="8"/>
      <c r="L310" s="8"/>
      <c r="M310" s="8"/>
    </row>
    <row r="311" spans="1:13" x14ac:dyDescent="0.2">
      <c r="A311" s="5"/>
      <c r="B311" s="8"/>
      <c r="C311" s="8"/>
      <c r="D311" s="8"/>
      <c r="E311" s="8"/>
      <c r="F311" s="8"/>
      <c r="G311" s="8"/>
      <c r="H311" s="8"/>
      <c r="I311" s="8"/>
      <c r="J311" s="8"/>
      <c r="K311" s="8"/>
      <c r="L311" s="8"/>
      <c r="M311" s="8"/>
    </row>
    <row r="312" spans="1:13" x14ac:dyDescent="0.2">
      <c r="A312" s="5"/>
      <c r="B312" s="8"/>
      <c r="C312" s="8"/>
      <c r="D312" s="8"/>
      <c r="E312" s="8"/>
      <c r="F312" s="8"/>
      <c r="G312" s="8"/>
      <c r="H312" s="8"/>
      <c r="I312" s="8"/>
      <c r="J312" s="8"/>
      <c r="K312" s="8"/>
      <c r="L312" s="8"/>
      <c r="M312" s="8"/>
    </row>
    <row r="313" spans="1:13" x14ac:dyDescent="0.2">
      <c r="A313" s="5"/>
      <c r="B313" s="8"/>
      <c r="C313" s="8"/>
      <c r="D313" s="8"/>
      <c r="E313" s="8"/>
      <c r="F313" s="8"/>
      <c r="G313" s="8"/>
      <c r="H313" s="8"/>
      <c r="I313" s="8"/>
      <c r="J313" s="8"/>
      <c r="K313" s="8"/>
      <c r="L313" s="8"/>
      <c r="M313" s="8"/>
    </row>
    <row r="314" spans="1:13" x14ac:dyDescent="0.2">
      <c r="A314" s="5"/>
      <c r="B314" s="8"/>
      <c r="C314" s="8"/>
      <c r="D314" s="8"/>
      <c r="E314" s="8"/>
      <c r="F314" s="8"/>
      <c r="G314" s="8"/>
      <c r="H314" s="8"/>
      <c r="I314" s="8"/>
      <c r="J314" s="8"/>
      <c r="K314" s="8"/>
      <c r="L314" s="8"/>
      <c r="M314" s="8"/>
    </row>
    <row r="315" spans="1:13" x14ac:dyDescent="0.2">
      <c r="A315" s="5"/>
      <c r="B315" s="8"/>
      <c r="C315" s="8"/>
      <c r="D315" s="8"/>
      <c r="E315" s="8"/>
      <c r="F315" s="8"/>
      <c r="G315" s="8"/>
      <c r="H315" s="8"/>
      <c r="I315" s="8"/>
      <c r="J315" s="8"/>
      <c r="K315" s="8"/>
      <c r="L315" s="8"/>
      <c r="M315" s="8"/>
    </row>
    <row r="316" spans="1:13" x14ac:dyDescent="0.2">
      <c r="A316" s="5"/>
      <c r="B316" s="8"/>
      <c r="C316" s="8"/>
      <c r="D316" s="8"/>
      <c r="E316" s="8"/>
      <c r="F316" s="8"/>
      <c r="G316" s="8"/>
      <c r="H316" s="8"/>
      <c r="I316" s="8"/>
      <c r="J316" s="8"/>
      <c r="K316" s="8"/>
      <c r="L316" s="8"/>
      <c r="M316" s="8"/>
    </row>
    <row r="317" spans="1:13" x14ac:dyDescent="0.2">
      <c r="A317" s="5"/>
      <c r="B317" s="8"/>
      <c r="C317" s="8"/>
      <c r="D317" s="8"/>
      <c r="E317" s="8"/>
      <c r="F317" s="8"/>
      <c r="G317" s="8"/>
      <c r="H317" s="8"/>
      <c r="I317" s="8"/>
      <c r="J317" s="8"/>
      <c r="K317" s="8"/>
      <c r="L317" s="8"/>
      <c r="M317" s="8"/>
    </row>
    <row r="318" spans="1:13" x14ac:dyDescent="0.2">
      <c r="A318" s="5"/>
      <c r="B318" s="8"/>
      <c r="C318" s="8"/>
      <c r="D318" s="8"/>
      <c r="E318" s="8"/>
      <c r="F318" s="8"/>
      <c r="G318" s="8"/>
      <c r="H318" s="8"/>
      <c r="I318" s="8"/>
      <c r="J318" s="8"/>
      <c r="K318" s="8"/>
      <c r="L318" s="8"/>
      <c r="M318" s="8"/>
    </row>
    <row r="319" spans="1:13" x14ac:dyDescent="0.2">
      <c r="A319" s="5"/>
      <c r="B319" s="8"/>
      <c r="C319" s="8"/>
      <c r="D319" s="8"/>
      <c r="E319" s="8"/>
      <c r="F319" s="8"/>
      <c r="G319" s="8"/>
      <c r="H319" s="8"/>
      <c r="I319" s="8"/>
      <c r="J319" s="8"/>
      <c r="K319" s="8"/>
      <c r="L319" s="8"/>
      <c r="M319" s="8"/>
    </row>
    <row r="320" spans="1:13" x14ac:dyDescent="0.2">
      <c r="A320" s="5"/>
      <c r="B320" s="8"/>
      <c r="C320" s="8"/>
      <c r="D320" s="8"/>
      <c r="E320" s="8"/>
      <c r="F320" s="8"/>
      <c r="G320" s="8"/>
      <c r="H320" s="8"/>
      <c r="I320" s="8"/>
      <c r="J320" s="8"/>
      <c r="K320" s="8"/>
      <c r="L320" s="8"/>
      <c r="M320" s="8"/>
    </row>
    <row r="321" spans="1:13" x14ac:dyDescent="0.2">
      <c r="A321" s="5"/>
      <c r="B321" s="8"/>
      <c r="C321" s="8"/>
      <c r="D321" s="8"/>
      <c r="E321" s="8"/>
      <c r="F321" s="8"/>
      <c r="G321" s="8"/>
      <c r="H321" s="8"/>
      <c r="I321" s="8"/>
      <c r="J321" s="8"/>
      <c r="K321" s="8"/>
      <c r="L321" s="8"/>
      <c r="M321" s="8"/>
    </row>
    <row r="322" spans="1:13" x14ac:dyDescent="0.2">
      <c r="A322" s="5"/>
      <c r="B322" s="8"/>
      <c r="C322" s="8"/>
      <c r="D322" s="8"/>
      <c r="E322" s="8"/>
      <c r="F322" s="8"/>
      <c r="G322" s="8"/>
      <c r="H322" s="8"/>
      <c r="I322" s="8"/>
      <c r="J322" s="8"/>
      <c r="K322" s="8"/>
      <c r="L322" s="8"/>
      <c r="M322" s="8"/>
    </row>
    <row r="323" spans="1:13" x14ac:dyDescent="0.2">
      <c r="A323" s="5"/>
      <c r="B323" s="8"/>
      <c r="C323" s="8"/>
      <c r="D323" s="8"/>
      <c r="E323" s="8"/>
      <c r="F323" s="8"/>
      <c r="G323" s="8"/>
      <c r="H323" s="8"/>
      <c r="I323" s="8"/>
      <c r="J323" s="8"/>
      <c r="K323" s="8"/>
      <c r="L323" s="8"/>
      <c r="M323" s="8"/>
    </row>
    <row r="324" spans="1:13" x14ac:dyDescent="0.2">
      <c r="A324" s="5"/>
      <c r="B324" s="8"/>
      <c r="C324" s="8"/>
      <c r="D324" s="8"/>
      <c r="E324" s="8"/>
      <c r="F324" s="8"/>
      <c r="G324" s="8"/>
      <c r="H324" s="8"/>
      <c r="I324" s="8"/>
      <c r="J324" s="8"/>
      <c r="K324" s="8"/>
      <c r="L324" s="8"/>
      <c r="M324" s="8"/>
    </row>
    <row r="326" spans="1:13" x14ac:dyDescent="0.2">
      <c r="A326" s="4"/>
    </row>
    <row r="327" spans="1:13" x14ac:dyDescent="0.2">
      <c r="A327" s="4"/>
    </row>
    <row r="328" spans="1:13" x14ac:dyDescent="0.2">
      <c r="A328" s="4"/>
    </row>
    <row r="331" spans="1:13" x14ac:dyDescent="0.2">
      <c r="A331" s="3"/>
    </row>
    <row r="332" spans="1:13" x14ac:dyDescent="0.2">
      <c r="A332" s="4"/>
    </row>
    <row r="334" spans="1:13" x14ac:dyDescent="0.2">
      <c r="A334" s="5"/>
      <c r="B334" s="5"/>
    </row>
    <row r="335" spans="1:13" x14ac:dyDescent="0.2">
      <c r="A335" s="5"/>
      <c r="B335" s="5"/>
    </row>
    <row r="336" spans="1:13" x14ac:dyDescent="0.2">
      <c r="A336" s="5"/>
      <c r="B336" s="5"/>
    </row>
    <row r="338" spans="1:13" x14ac:dyDescent="0.2">
      <c r="A338" s="6"/>
      <c r="B338" s="7"/>
      <c r="C338" s="7"/>
      <c r="D338" s="7"/>
      <c r="E338" s="7"/>
      <c r="F338" s="7"/>
      <c r="G338" s="7"/>
      <c r="H338" s="7"/>
      <c r="I338" s="7"/>
      <c r="J338" s="7"/>
      <c r="K338" s="7"/>
      <c r="L338" s="7"/>
      <c r="M338" s="7"/>
    </row>
    <row r="339" spans="1:13" x14ac:dyDescent="0.2">
      <c r="A339" s="5"/>
      <c r="B339" s="8"/>
      <c r="C339" s="8"/>
      <c r="D339" s="8"/>
      <c r="E339" s="8"/>
      <c r="F339" s="8"/>
      <c r="G339" s="8"/>
      <c r="H339" s="8"/>
      <c r="I339" s="8"/>
      <c r="J339" s="8"/>
      <c r="K339" s="8"/>
      <c r="L339" s="8"/>
      <c r="M339" s="8"/>
    </row>
    <row r="340" spans="1:13" x14ac:dyDescent="0.2">
      <c r="A340" s="5"/>
      <c r="B340" s="8"/>
      <c r="C340" s="8"/>
      <c r="D340" s="8"/>
      <c r="E340" s="8"/>
      <c r="F340" s="8"/>
      <c r="G340" s="8"/>
      <c r="H340" s="8"/>
      <c r="I340" s="8"/>
      <c r="J340" s="8"/>
      <c r="K340" s="8"/>
      <c r="L340" s="8"/>
      <c r="M340" s="8"/>
    </row>
    <row r="341" spans="1:13" x14ac:dyDescent="0.2">
      <c r="A341" s="5"/>
      <c r="B341" s="8"/>
      <c r="C341" s="8"/>
      <c r="D341" s="8"/>
      <c r="E341" s="8"/>
      <c r="F341" s="8"/>
      <c r="G341" s="8"/>
      <c r="H341" s="8"/>
      <c r="I341" s="8"/>
      <c r="J341" s="8"/>
      <c r="K341" s="8"/>
      <c r="L341" s="8"/>
      <c r="M341" s="8"/>
    </row>
    <row r="342" spans="1:13" x14ac:dyDescent="0.2">
      <c r="A342" s="5"/>
      <c r="B342" s="8"/>
      <c r="C342" s="8"/>
      <c r="D342" s="8"/>
      <c r="E342" s="8"/>
      <c r="F342" s="8"/>
      <c r="G342" s="8"/>
      <c r="H342" s="8"/>
      <c r="I342" s="8"/>
      <c r="J342" s="8"/>
      <c r="K342" s="8"/>
      <c r="L342" s="8"/>
      <c r="M342" s="8"/>
    </row>
    <row r="343" spans="1:13" x14ac:dyDescent="0.2">
      <c r="A343" s="5"/>
      <c r="B343" s="8"/>
      <c r="C343" s="8"/>
      <c r="D343" s="8"/>
      <c r="E343" s="8"/>
      <c r="F343" s="8"/>
      <c r="G343" s="8"/>
      <c r="H343" s="8"/>
      <c r="I343" s="8"/>
      <c r="J343" s="8"/>
      <c r="K343" s="8"/>
      <c r="L343" s="8"/>
      <c r="M343" s="8"/>
    </row>
    <row r="344" spans="1:13" x14ac:dyDescent="0.2">
      <c r="A344" s="5"/>
      <c r="B344" s="8"/>
      <c r="C344" s="8"/>
      <c r="D344" s="8"/>
      <c r="E344" s="8"/>
      <c r="F344" s="8"/>
      <c r="G344" s="8"/>
      <c r="H344" s="8"/>
      <c r="I344" s="8"/>
      <c r="J344" s="8"/>
      <c r="K344" s="8"/>
      <c r="L344" s="8"/>
      <c r="M344" s="8"/>
    </row>
    <row r="345" spans="1:13" x14ac:dyDescent="0.2">
      <c r="A345" s="5"/>
      <c r="B345" s="8"/>
      <c r="C345" s="8"/>
      <c r="D345" s="8"/>
      <c r="E345" s="8"/>
      <c r="F345" s="8"/>
      <c r="G345" s="8"/>
      <c r="H345" s="8"/>
      <c r="I345" s="8"/>
      <c r="J345" s="8"/>
      <c r="K345" s="8"/>
      <c r="L345" s="8"/>
      <c r="M345" s="8"/>
    </row>
    <row r="346" spans="1:13" x14ac:dyDescent="0.2">
      <c r="A346" s="5"/>
      <c r="B346" s="8"/>
      <c r="C346" s="8"/>
      <c r="D346" s="8"/>
      <c r="E346" s="8"/>
      <c r="F346" s="8"/>
      <c r="G346" s="8"/>
      <c r="H346" s="8"/>
      <c r="I346" s="8"/>
      <c r="J346" s="8"/>
      <c r="K346" s="8"/>
      <c r="L346" s="8"/>
      <c r="M346" s="8"/>
    </row>
    <row r="347" spans="1:13" x14ac:dyDescent="0.2">
      <c r="A347" s="5"/>
      <c r="B347" s="8"/>
      <c r="C347" s="8"/>
      <c r="D347" s="8"/>
      <c r="E347" s="8"/>
      <c r="F347" s="8"/>
      <c r="G347" s="8"/>
      <c r="H347" s="8"/>
      <c r="I347" s="8"/>
      <c r="J347" s="8"/>
      <c r="K347" s="8"/>
      <c r="L347" s="8"/>
      <c r="M347" s="8"/>
    </row>
    <row r="348" spans="1:13" x14ac:dyDescent="0.2">
      <c r="A348" s="5"/>
      <c r="B348" s="8"/>
      <c r="C348" s="8"/>
      <c r="D348" s="8"/>
      <c r="E348" s="8"/>
      <c r="F348" s="8"/>
      <c r="G348" s="8"/>
      <c r="H348" s="8"/>
      <c r="I348" s="8"/>
      <c r="J348" s="8"/>
      <c r="K348" s="8"/>
      <c r="L348" s="8"/>
      <c r="M348" s="8"/>
    </row>
    <row r="349" spans="1:13" x14ac:dyDescent="0.2">
      <c r="A349" s="5"/>
      <c r="B349" s="8"/>
      <c r="C349" s="8"/>
      <c r="D349" s="8"/>
      <c r="E349" s="8"/>
      <c r="F349" s="8"/>
      <c r="G349" s="8"/>
      <c r="H349" s="8"/>
      <c r="I349" s="8"/>
      <c r="J349" s="8"/>
      <c r="K349" s="8"/>
      <c r="L349" s="8"/>
      <c r="M349" s="8"/>
    </row>
    <row r="350" spans="1:13" x14ac:dyDescent="0.2">
      <c r="A350" s="5"/>
      <c r="B350" s="8"/>
      <c r="C350" s="8"/>
      <c r="D350" s="8"/>
      <c r="E350" s="8"/>
      <c r="F350" s="8"/>
      <c r="G350" s="8"/>
      <c r="H350" s="8"/>
      <c r="I350" s="8"/>
      <c r="J350" s="8"/>
      <c r="K350" s="8"/>
      <c r="L350" s="8"/>
      <c r="M350" s="8"/>
    </row>
    <row r="351" spans="1:13" x14ac:dyDescent="0.2">
      <c r="A351" s="5"/>
      <c r="B351" s="8"/>
      <c r="C351" s="8"/>
      <c r="D351" s="8"/>
      <c r="E351" s="8"/>
      <c r="F351" s="8"/>
      <c r="G351" s="8"/>
      <c r="H351" s="8"/>
      <c r="I351" s="8"/>
      <c r="J351" s="8"/>
      <c r="K351" s="8"/>
      <c r="L351" s="8"/>
      <c r="M351" s="8"/>
    </row>
    <row r="352" spans="1:13" x14ac:dyDescent="0.2">
      <c r="A352" s="5"/>
      <c r="B352" s="8"/>
      <c r="C352" s="8"/>
      <c r="D352" s="8"/>
      <c r="E352" s="8"/>
      <c r="F352" s="8"/>
      <c r="G352" s="8"/>
      <c r="H352" s="8"/>
      <c r="I352" s="8"/>
      <c r="J352" s="8"/>
      <c r="K352" s="8"/>
      <c r="L352" s="8"/>
      <c r="M352" s="8"/>
    </row>
    <row r="353" spans="1:13" x14ac:dyDescent="0.2">
      <c r="A353" s="5"/>
      <c r="B353" s="8"/>
      <c r="C353" s="8"/>
      <c r="D353" s="8"/>
      <c r="E353" s="8"/>
      <c r="F353" s="8"/>
      <c r="G353" s="8"/>
      <c r="H353" s="8"/>
      <c r="I353" s="8"/>
      <c r="J353" s="8"/>
      <c r="K353" s="8"/>
      <c r="L353" s="8"/>
      <c r="M353" s="8"/>
    </row>
    <row r="354" spans="1:13" x14ac:dyDescent="0.2">
      <c r="A354" s="5"/>
      <c r="B354" s="8"/>
      <c r="C354" s="8"/>
      <c r="D354" s="8"/>
      <c r="E354" s="8"/>
      <c r="F354" s="8"/>
      <c r="G354" s="8"/>
      <c r="H354" s="8"/>
      <c r="I354" s="8"/>
      <c r="J354" s="8"/>
      <c r="K354" s="8"/>
      <c r="L354" s="8"/>
      <c r="M354" s="8"/>
    </row>
    <row r="356" spans="1:13" x14ac:dyDescent="0.2">
      <c r="A356" s="4"/>
    </row>
    <row r="357" spans="1:13" x14ac:dyDescent="0.2">
      <c r="A357" s="4"/>
    </row>
    <row r="358" spans="1:13" x14ac:dyDescent="0.2">
      <c r="A358" s="4"/>
    </row>
    <row r="361" spans="1:13" x14ac:dyDescent="0.2">
      <c r="A361" s="3"/>
    </row>
    <row r="362" spans="1:13" x14ac:dyDescent="0.2">
      <c r="A362" s="4"/>
    </row>
    <row r="364" spans="1:13" x14ac:dyDescent="0.2">
      <c r="A364" s="5"/>
      <c r="B364" s="5"/>
    </row>
    <row r="365" spans="1:13" x14ac:dyDescent="0.2">
      <c r="A365" s="5"/>
      <c r="B365" s="5"/>
    </row>
    <row r="366" spans="1:13" x14ac:dyDescent="0.2">
      <c r="A366" s="5"/>
      <c r="B366" s="5"/>
    </row>
    <row r="368" spans="1:13" x14ac:dyDescent="0.2">
      <c r="A368" s="6"/>
      <c r="B368" s="7"/>
      <c r="C368" s="7"/>
      <c r="D368" s="7"/>
      <c r="E368" s="7"/>
      <c r="F368" s="7"/>
      <c r="G368" s="7"/>
      <c r="H368" s="7"/>
      <c r="I368" s="7"/>
      <c r="J368" s="7"/>
      <c r="K368" s="7"/>
      <c r="L368" s="7"/>
      <c r="M368" s="7"/>
    </row>
    <row r="369" spans="1:13" x14ac:dyDescent="0.2">
      <c r="A369" s="5"/>
      <c r="B369" s="8"/>
      <c r="C369" s="8"/>
      <c r="D369" s="8"/>
      <c r="E369" s="8"/>
      <c r="F369" s="8"/>
      <c r="G369" s="8"/>
      <c r="H369" s="8"/>
      <c r="I369" s="8"/>
      <c r="J369" s="8"/>
      <c r="K369" s="8"/>
      <c r="L369" s="8"/>
      <c r="M369" s="8"/>
    </row>
    <row r="370" spans="1:13" x14ac:dyDescent="0.2">
      <c r="A370" s="5"/>
      <c r="B370" s="8"/>
      <c r="C370" s="8"/>
      <c r="D370" s="8"/>
      <c r="E370" s="8"/>
      <c r="F370" s="8"/>
      <c r="G370" s="8"/>
      <c r="H370" s="8"/>
      <c r="I370" s="8"/>
      <c r="J370" s="8"/>
      <c r="K370" s="8"/>
      <c r="L370" s="8"/>
      <c r="M370" s="8"/>
    </row>
    <row r="371" spans="1:13" x14ac:dyDescent="0.2">
      <c r="A371" s="5"/>
      <c r="B371" s="8"/>
      <c r="C371" s="8"/>
      <c r="D371" s="8"/>
      <c r="E371" s="8"/>
      <c r="F371" s="8"/>
      <c r="G371" s="8"/>
      <c r="H371" s="8"/>
      <c r="I371" s="8"/>
      <c r="J371" s="8"/>
      <c r="K371" s="8"/>
      <c r="L371" s="8"/>
      <c r="M371" s="8"/>
    </row>
    <row r="372" spans="1:13" x14ac:dyDescent="0.2">
      <c r="A372" s="5"/>
      <c r="B372" s="8"/>
      <c r="C372" s="8"/>
      <c r="D372" s="8"/>
      <c r="E372" s="8"/>
      <c r="F372" s="8"/>
      <c r="G372" s="8"/>
      <c r="H372" s="8"/>
      <c r="I372" s="8"/>
      <c r="J372" s="8"/>
      <c r="K372" s="8"/>
      <c r="L372" s="8"/>
      <c r="M372" s="8"/>
    </row>
    <row r="373" spans="1:13" x14ac:dyDescent="0.2">
      <c r="A373" s="5"/>
      <c r="B373" s="8"/>
      <c r="C373" s="8"/>
      <c r="D373" s="8"/>
      <c r="E373" s="8"/>
      <c r="F373" s="8"/>
      <c r="G373" s="8"/>
      <c r="H373" s="8"/>
      <c r="I373" s="8"/>
      <c r="J373" s="8"/>
      <c r="K373" s="8"/>
      <c r="L373" s="8"/>
      <c r="M373" s="8"/>
    </row>
    <row r="374" spans="1:13" x14ac:dyDescent="0.2">
      <c r="A374" s="5"/>
      <c r="B374" s="8"/>
      <c r="C374" s="8"/>
      <c r="D374" s="8"/>
      <c r="E374" s="8"/>
      <c r="F374" s="8"/>
      <c r="G374" s="8"/>
      <c r="H374" s="8"/>
      <c r="I374" s="8"/>
      <c r="J374" s="8"/>
      <c r="K374" s="8"/>
      <c r="L374" s="8"/>
      <c r="M374" s="8"/>
    </row>
    <row r="375" spans="1:13" x14ac:dyDescent="0.2">
      <c r="A375" s="5"/>
      <c r="B375" s="8"/>
      <c r="C375" s="8"/>
      <c r="D375" s="8"/>
      <c r="E375" s="8"/>
      <c r="F375" s="8"/>
      <c r="G375" s="8"/>
      <c r="H375" s="8"/>
      <c r="I375" s="8"/>
      <c r="J375" s="8"/>
      <c r="K375" s="8"/>
      <c r="L375" s="8"/>
      <c r="M375" s="8"/>
    </row>
    <row r="376" spans="1:13" x14ac:dyDescent="0.2">
      <c r="A376" s="5"/>
      <c r="B376" s="8"/>
      <c r="C376" s="8"/>
      <c r="D376" s="8"/>
      <c r="E376" s="8"/>
      <c r="F376" s="8"/>
      <c r="G376" s="8"/>
      <c r="H376" s="8"/>
      <c r="I376" s="8"/>
      <c r="J376" s="8"/>
      <c r="K376" s="8"/>
      <c r="L376" s="8"/>
      <c r="M376" s="8"/>
    </row>
    <row r="377" spans="1:13" x14ac:dyDescent="0.2">
      <c r="A377" s="5"/>
      <c r="B377" s="8"/>
      <c r="C377" s="8"/>
      <c r="D377" s="8"/>
      <c r="E377" s="8"/>
      <c r="F377" s="8"/>
      <c r="G377" s="8"/>
      <c r="H377" s="8"/>
      <c r="I377" s="8"/>
      <c r="J377" s="8"/>
      <c r="K377" s="8"/>
      <c r="L377" s="8"/>
      <c r="M377" s="8"/>
    </row>
    <row r="378" spans="1:13" x14ac:dyDescent="0.2">
      <c r="A378" s="5"/>
      <c r="B378" s="8"/>
      <c r="C378" s="8"/>
      <c r="D378" s="8"/>
      <c r="E378" s="8"/>
      <c r="F378" s="8"/>
      <c r="G378" s="8"/>
      <c r="H378" s="8"/>
      <c r="I378" s="8"/>
      <c r="J378" s="8"/>
      <c r="K378" s="8"/>
      <c r="L378" s="8"/>
      <c r="M378" s="8"/>
    </row>
    <row r="379" spans="1:13" x14ac:dyDescent="0.2">
      <c r="A379" s="5"/>
      <c r="B379" s="8"/>
      <c r="C379" s="8"/>
      <c r="D379" s="8"/>
      <c r="E379" s="8"/>
      <c r="F379" s="8"/>
      <c r="G379" s="8"/>
      <c r="H379" s="8"/>
      <c r="I379" s="8"/>
      <c r="J379" s="8"/>
      <c r="K379" s="8"/>
      <c r="L379" s="8"/>
      <c r="M379" s="8"/>
    </row>
    <row r="380" spans="1:13" x14ac:dyDescent="0.2">
      <c r="A380" s="5"/>
      <c r="B380" s="8"/>
      <c r="C380" s="8"/>
      <c r="D380" s="8"/>
      <c r="E380" s="8"/>
      <c r="F380" s="8"/>
      <c r="G380" s="8"/>
      <c r="H380" s="8"/>
      <c r="I380" s="8"/>
      <c r="J380" s="8"/>
      <c r="K380" s="8"/>
      <c r="L380" s="8"/>
      <c r="M380" s="8"/>
    </row>
    <row r="381" spans="1:13" x14ac:dyDescent="0.2">
      <c r="A381" s="5"/>
      <c r="B381" s="8"/>
      <c r="C381" s="8"/>
      <c r="D381" s="8"/>
      <c r="E381" s="8"/>
      <c r="F381" s="8"/>
      <c r="G381" s="8"/>
      <c r="H381" s="8"/>
      <c r="I381" s="8"/>
      <c r="J381" s="8"/>
      <c r="K381" s="8"/>
      <c r="L381" s="8"/>
      <c r="M381" s="8"/>
    </row>
    <row r="382" spans="1:13" x14ac:dyDescent="0.2">
      <c r="A382" s="5"/>
      <c r="B382" s="8"/>
      <c r="C382" s="8"/>
      <c r="D382" s="8"/>
      <c r="E382" s="8"/>
      <c r="F382" s="8"/>
      <c r="G382" s="8"/>
      <c r="H382" s="8"/>
      <c r="I382" s="8"/>
      <c r="J382" s="8"/>
      <c r="K382" s="8"/>
      <c r="L382" s="8"/>
      <c r="M382" s="8"/>
    </row>
    <row r="383" spans="1:13" x14ac:dyDescent="0.2">
      <c r="A383" s="5"/>
      <c r="B383" s="8"/>
      <c r="C383" s="8"/>
      <c r="D383" s="8"/>
      <c r="E383" s="8"/>
      <c r="F383" s="8"/>
      <c r="G383" s="8"/>
      <c r="H383" s="8"/>
      <c r="I383" s="8"/>
      <c r="J383" s="8"/>
      <c r="K383" s="8"/>
      <c r="L383" s="8"/>
      <c r="M383" s="8"/>
    </row>
    <row r="384" spans="1:13" x14ac:dyDescent="0.2">
      <c r="A384" s="5"/>
      <c r="B384" s="8"/>
      <c r="C384" s="8"/>
      <c r="D384" s="8"/>
      <c r="E384" s="8"/>
      <c r="F384" s="8"/>
      <c r="G384" s="8"/>
      <c r="H384" s="8"/>
      <c r="I384" s="8"/>
      <c r="J384" s="8"/>
      <c r="K384" s="8"/>
      <c r="L384" s="8"/>
      <c r="M384" s="8"/>
    </row>
    <row r="386" spans="1:13" x14ac:dyDescent="0.2">
      <c r="A386" s="4"/>
    </row>
    <row r="387" spans="1:13" x14ac:dyDescent="0.2">
      <c r="A387" s="4"/>
    </row>
    <row r="388" spans="1:13" x14ac:dyDescent="0.2">
      <c r="A388" s="4"/>
    </row>
    <row r="391" spans="1:13" x14ac:dyDescent="0.2">
      <c r="A391" s="3"/>
    </row>
    <row r="392" spans="1:13" x14ac:dyDescent="0.2">
      <c r="A392" s="4"/>
    </row>
    <row r="394" spans="1:13" x14ac:dyDescent="0.2">
      <c r="A394" s="5"/>
      <c r="B394" s="5"/>
    </row>
    <row r="395" spans="1:13" x14ac:dyDescent="0.2">
      <c r="A395" s="5"/>
      <c r="B395" s="5"/>
    </row>
    <row r="396" spans="1:13" x14ac:dyDescent="0.2">
      <c r="A396" s="5"/>
      <c r="B396" s="5"/>
    </row>
    <row r="398" spans="1:13" x14ac:dyDescent="0.2">
      <c r="A398" s="6"/>
      <c r="B398" s="7"/>
      <c r="C398" s="7"/>
      <c r="D398" s="7"/>
      <c r="E398" s="7"/>
      <c r="F398" s="7"/>
      <c r="G398" s="7"/>
      <c r="H398" s="7"/>
      <c r="I398" s="7"/>
      <c r="J398" s="7"/>
      <c r="K398" s="7"/>
      <c r="L398" s="7"/>
      <c r="M398" s="7"/>
    </row>
    <row r="399" spans="1:13" x14ac:dyDescent="0.2">
      <c r="A399" s="5"/>
      <c r="B399" s="8"/>
      <c r="C399" s="8"/>
      <c r="D399" s="8"/>
      <c r="E399" s="8"/>
      <c r="F399" s="8"/>
      <c r="G399" s="8"/>
      <c r="H399" s="8"/>
      <c r="I399" s="8"/>
      <c r="J399" s="8"/>
      <c r="K399" s="8"/>
      <c r="L399" s="8"/>
      <c r="M399" s="8"/>
    </row>
    <row r="400" spans="1:13" x14ac:dyDescent="0.2">
      <c r="A400" s="5"/>
      <c r="B400" s="8"/>
      <c r="C400" s="8"/>
      <c r="D400" s="8"/>
      <c r="E400" s="8"/>
      <c r="F400" s="8"/>
      <c r="G400" s="8"/>
      <c r="H400" s="8"/>
      <c r="I400" s="8"/>
      <c r="J400" s="8"/>
      <c r="K400" s="8"/>
      <c r="L400" s="8"/>
      <c r="M400" s="8"/>
    </row>
    <row r="401" spans="1:13" x14ac:dyDescent="0.2">
      <c r="A401" s="5"/>
      <c r="B401" s="8"/>
      <c r="C401" s="8"/>
      <c r="D401" s="8"/>
      <c r="E401" s="8"/>
      <c r="F401" s="8"/>
      <c r="G401" s="8"/>
      <c r="H401" s="8"/>
      <c r="I401" s="8"/>
      <c r="J401" s="8"/>
      <c r="K401" s="8"/>
      <c r="L401" s="8"/>
      <c r="M401" s="8"/>
    </row>
    <row r="402" spans="1:13" x14ac:dyDescent="0.2">
      <c r="A402" s="5"/>
      <c r="B402" s="8"/>
      <c r="C402" s="8"/>
      <c r="D402" s="8"/>
      <c r="E402" s="8"/>
      <c r="F402" s="8"/>
      <c r="G402" s="8"/>
      <c r="H402" s="8"/>
      <c r="I402" s="8"/>
      <c r="J402" s="8"/>
      <c r="K402" s="8"/>
      <c r="L402" s="8"/>
      <c r="M402" s="8"/>
    </row>
    <row r="403" spans="1:13" x14ac:dyDescent="0.2">
      <c r="A403" s="5"/>
      <c r="B403" s="8"/>
      <c r="C403" s="8"/>
      <c r="D403" s="8"/>
      <c r="E403" s="8"/>
      <c r="F403" s="8"/>
      <c r="G403" s="8"/>
      <c r="H403" s="8"/>
      <c r="I403" s="8"/>
      <c r="J403" s="8"/>
      <c r="K403" s="8"/>
      <c r="L403" s="8"/>
      <c r="M403" s="8"/>
    </row>
    <row r="404" spans="1:13" x14ac:dyDescent="0.2">
      <c r="A404" s="5"/>
      <c r="B404" s="8"/>
      <c r="C404" s="8"/>
      <c r="D404" s="8"/>
      <c r="E404" s="8"/>
      <c r="F404" s="8"/>
      <c r="G404" s="8"/>
      <c r="H404" s="8"/>
      <c r="I404" s="8"/>
      <c r="J404" s="8"/>
      <c r="K404" s="8"/>
      <c r="L404" s="8"/>
      <c r="M404" s="8"/>
    </row>
    <row r="405" spans="1:13" x14ac:dyDescent="0.2">
      <c r="A405" s="5"/>
      <c r="B405" s="8"/>
      <c r="C405" s="8"/>
      <c r="D405" s="8"/>
      <c r="E405" s="8"/>
      <c r="F405" s="8"/>
      <c r="G405" s="8"/>
      <c r="H405" s="8"/>
      <c r="I405" s="8"/>
      <c r="J405" s="8"/>
      <c r="K405" s="8"/>
      <c r="L405" s="8"/>
      <c r="M405" s="8"/>
    </row>
    <row r="406" spans="1:13" x14ac:dyDescent="0.2">
      <c r="A406" s="5"/>
      <c r="B406" s="8"/>
      <c r="C406" s="8"/>
      <c r="D406" s="8"/>
      <c r="E406" s="8"/>
      <c r="F406" s="8"/>
      <c r="G406" s="8"/>
      <c r="H406" s="8"/>
      <c r="I406" s="8"/>
      <c r="J406" s="8"/>
      <c r="K406" s="8"/>
      <c r="L406" s="8"/>
      <c r="M406" s="8"/>
    </row>
    <row r="407" spans="1:13" x14ac:dyDescent="0.2">
      <c r="A407" s="5"/>
      <c r="B407" s="8"/>
      <c r="C407" s="8"/>
      <c r="D407" s="8"/>
      <c r="E407" s="8"/>
      <c r="F407" s="8"/>
      <c r="G407" s="8"/>
      <c r="H407" s="8"/>
      <c r="I407" s="8"/>
      <c r="J407" s="8"/>
      <c r="K407" s="8"/>
      <c r="L407" s="8"/>
      <c r="M407" s="8"/>
    </row>
    <row r="408" spans="1:13" x14ac:dyDescent="0.2">
      <c r="A408" s="5"/>
      <c r="B408" s="8"/>
      <c r="C408" s="8"/>
      <c r="D408" s="8"/>
      <c r="E408" s="8"/>
      <c r="F408" s="8"/>
      <c r="G408" s="8"/>
      <c r="H408" s="8"/>
      <c r="I408" s="8"/>
      <c r="J408" s="8"/>
      <c r="K408" s="8"/>
      <c r="L408" s="8"/>
      <c r="M408" s="8"/>
    </row>
    <row r="409" spans="1:13" x14ac:dyDescent="0.2">
      <c r="A409" s="5"/>
      <c r="B409" s="8"/>
      <c r="C409" s="8"/>
      <c r="D409" s="8"/>
      <c r="E409" s="8"/>
      <c r="F409" s="8"/>
      <c r="G409" s="8"/>
      <c r="H409" s="8"/>
      <c r="I409" s="8"/>
      <c r="J409" s="8"/>
      <c r="K409" s="8"/>
      <c r="L409" s="8"/>
      <c r="M409" s="8"/>
    </row>
    <row r="410" spans="1:13" x14ac:dyDescent="0.2">
      <c r="A410" s="5"/>
      <c r="B410" s="8"/>
      <c r="C410" s="8"/>
      <c r="D410" s="8"/>
      <c r="E410" s="8"/>
      <c r="F410" s="8"/>
      <c r="G410" s="8"/>
      <c r="H410" s="8"/>
      <c r="I410" s="8"/>
      <c r="J410" s="8"/>
      <c r="K410" s="8"/>
      <c r="L410" s="8"/>
      <c r="M410" s="8"/>
    </row>
    <row r="411" spans="1:13" x14ac:dyDescent="0.2">
      <c r="A411" s="5"/>
      <c r="B411" s="8"/>
      <c r="C411" s="8"/>
      <c r="D411" s="8"/>
      <c r="E411" s="8"/>
      <c r="F411" s="8"/>
      <c r="G411" s="8"/>
      <c r="H411" s="8"/>
      <c r="I411" s="8"/>
      <c r="J411" s="8"/>
      <c r="K411" s="8"/>
      <c r="L411" s="8"/>
      <c r="M411" s="8"/>
    </row>
    <row r="412" spans="1:13" x14ac:dyDescent="0.2">
      <c r="A412" s="5"/>
      <c r="B412" s="8"/>
      <c r="C412" s="8"/>
      <c r="D412" s="8"/>
      <c r="E412" s="8"/>
      <c r="F412" s="8"/>
      <c r="G412" s="8"/>
      <c r="H412" s="8"/>
      <c r="I412" s="8"/>
      <c r="J412" s="8"/>
      <c r="K412" s="8"/>
      <c r="L412" s="8"/>
      <c r="M412" s="8"/>
    </row>
    <row r="413" spans="1:13" x14ac:dyDescent="0.2">
      <c r="A413" s="5"/>
      <c r="B413" s="8"/>
      <c r="C413" s="8"/>
      <c r="D413" s="8"/>
      <c r="E413" s="8"/>
      <c r="F413" s="8"/>
      <c r="G413" s="8"/>
      <c r="H413" s="8"/>
      <c r="I413" s="8"/>
      <c r="J413" s="8"/>
      <c r="K413" s="8"/>
      <c r="L413" s="8"/>
      <c r="M413" s="8"/>
    </row>
    <row r="414" spans="1:13" x14ac:dyDescent="0.2">
      <c r="A414" s="5"/>
      <c r="B414" s="8"/>
      <c r="C414" s="8"/>
      <c r="D414" s="8"/>
      <c r="E414" s="8"/>
      <c r="F414" s="8"/>
      <c r="G414" s="8"/>
      <c r="H414" s="8"/>
      <c r="I414" s="8"/>
      <c r="J414" s="8"/>
      <c r="K414" s="8"/>
      <c r="L414" s="8"/>
      <c r="M414" s="8"/>
    </row>
    <row r="416" spans="1:13" x14ac:dyDescent="0.2">
      <c r="A416" s="4"/>
    </row>
    <row r="417" spans="1:1" x14ac:dyDescent="0.2">
      <c r="A417" s="4"/>
    </row>
    <row r="418" spans="1:1" x14ac:dyDescent="0.2">
      <c r="A418" s="4"/>
    </row>
  </sheetData>
  <mergeCells count="12">
    <mergeCell ref="N8:O8"/>
    <mergeCell ref="P8:Q8"/>
    <mergeCell ref="R8:S8"/>
    <mergeCell ref="T8:U8"/>
    <mergeCell ref="V8:W8"/>
    <mergeCell ref="X8:Y8"/>
    <mergeCell ref="B8:C8"/>
    <mergeCell ref="D8:E8"/>
    <mergeCell ref="F8:G8"/>
    <mergeCell ref="H8:I8"/>
    <mergeCell ref="J8:K8"/>
    <mergeCell ref="L8:M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F1B92-E1FB-E74A-B3FF-5116134587D5}">
  <dimension ref="A1:Z25"/>
  <sheetViews>
    <sheetView tabSelected="1" zoomScale="140" workbookViewId="0">
      <selection activeCell="P23" sqref="P23"/>
    </sheetView>
  </sheetViews>
  <sheetFormatPr baseColWidth="10" defaultRowHeight="16" x14ac:dyDescent="0.2"/>
  <cols>
    <col min="4" max="4" width="25.6640625" bestFit="1" customWidth="1"/>
    <col min="5" max="5" width="10.33203125" bestFit="1" customWidth="1"/>
    <col min="6" max="6" width="14.6640625" bestFit="1" customWidth="1"/>
    <col min="7" max="7" width="15.83203125" bestFit="1" customWidth="1"/>
    <col min="8" max="9" width="16.83203125" bestFit="1" customWidth="1"/>
    <col min="14" max="14" width="29.1640625" bestFit="1" customWidth="1"/>
  </cols>
  <sheetData>
    <row r="1" spans="1:26" x14ac:dyDescent="0.2">
      <c r="A1" t="s">
        <v>0</v>
      </c>
      <c r="B1" t="s">
        <v>1</v>
      </c>
      <c r="C1" t="s">
        <v>2</v>
      </c>
      <c r="D1" t="s">
        <v>50</v>
      </c>
      <c r="E1" t="s">
        <v>80</v>
      </c>
      <c r="F1" t="s">
        <v>81</v>
      </c>
      <c r="G1" t="s">
        <v>67</v>
      </c>
      <c r="H1" t="s">
        <v>82</v>
      </c>
      <c r="I1" t="s">
        <v>69</v>
      </c>
      <c r="J1" s="10" t="s">
        <v>83</v>
      </c>
      <c r="K1" s="10" t="s">
        <v>93</v>
      </c>
      <c r="L1" t="s">
        <v>84</v>
      </c>
      <c r="M1" t="s">
        <v>73</v>
      </c>
      <c r="N1" t="s">
        <v>85</v>
      </c>
      <c r="O1" t="s">
        <v>60</v>
      </c>
      <c r="P1" t="s">
        <v>86</v>
      </c>
      <c r="Q1" t="s">
        <v>87</v>
      </c>
      <c r="R1" t="s">
        <v>88</v>
      </c>
      <c r="S1" t="s">
        <v>89</v>
      </c>
      <c r="T1" t="s">
        <v>90</v>
      </c>
      <c r="U1" s="10" t="s">
        <v>91</v>
      </c>
      <c r="V1" s="10" t="s">
        <v>92</v>
      </c>
      <c r="W1" t="s">
        <v>94</v>
      </c>
      <c r="X1" t="s">
        <v>95</v>
      </c>
      <c r="Y1" t="s">
        <v>96</v>
      </c>
      <c r="Z1" t="s">
        <v>97</v>
      </c>
    </row>
    <row r="2" spans="1:26" x14ac:dyDescent="0.2">
      <c r="A2">
        <v>2021</v>
      </c>
      <c r="B2" t="s">
        <v>3</v>
      </c>
      <c r="C2" t="s">
        <v>4</v>
      </c>
      <c r="D2" s="8">
        <v>89815</v>
      </c>
      <c r="E2" s="8">
        <v>34611</v>
      </c>
      <c r="F2" s="8">
        <v>62</v>
      </c>
      <c r="G2" s="8">
        <v>629</v>
      </c>
      <c r="H2" s="8">
        <v>3063</v>
      </c>
      <c r="I2" s="8">
        <v>235</v>
      </c>
      <c r="J2" s="8">
        <v>522</v>
      </c>
      <c r="K2" s="8">
        <v>35753</v>
      </c>
      <c r="L2" s="8">
        <v>2637</v>
      </c>
      <c r="M2" s="8">
        <v>1713</v>
      </c>
      <c r="N2" s="8">
        <v>9848</v>
      </c>
      <c r="O2" s="8">
        <v>742</v>
      </c>
      <c r="P2" s="16">
        <v>38.5</v>
      </c>
      <c r="Q2" s="16">
        <v>0.1</v>
      </c>
      <c r="R2" s="16">
        <v>0.7</v>
      </c>
      <c r="S2" s="16">
        <v>3.4</v>
      </c>
      <c r="T2" s="16">
        <v>0.3</v>
      </c>
      <c r="U2" s="16">
        <v>0.6</v>
      </c>
      <c r="V2" s="16">
        <v>39.799999999999997</v>
      </c>
      <c r="W2" s="16">
        <v>2.9</v>
      </c>
      <c r="X2" s="16">
        <v>1.9</v>
      </c>
      <c r="Y2" s="16">
        <v>11</v>
      </c>
      <c r="Z2" s="16">
        <v>0.8</v>
      </c>
    </row>
    <row r="3" spans="1:26" x14ac:dyDescent="0.2">
      <c r="A3">
        <v>2021</v>
      </c>
      <c r="B3" t="s">
        <v>5</v>
      </c>
      <c r="C3" t="s">
        <v>4</v>
      </c>
      <c r="D3" s="8">
        <v>238512</v>
      </c>
      <c r="E3" s="8">
        <v>92026</v>
      </c>
      <c r="F3" s="8">
        <v>115</v>
      </c>
      <c r="G3" s="8">
        <v>1650</v>
      </c>
      <c r="H3" s="8">
        <v>14617</v>
      </c>
      <c r="I3" s="8">
        <v>999</v>
      </c>
      <c r="J3" s="8">
        <v>1545</v>
      </c>
      <c r="K3" s="8">
        <v>78915</v>
      </c>
      <c r="L3" s="8">
        <v>7329</v>
      </c>
      <c r="M3" s="8">
        <v>12466</v>
      </c>
      <c r="N3" s="8">
        <v>26730</v>
      </c>
      <c r="O3" s="8">
        <v>2120</v>
      </c>
      <c r="P3" s="16">
        <v>38.6</v>
      </c>
      <c r="Q3" s="16">
        <v>0</v>
      </c>
      <c r="R3" s="16">
        <v>0.7</v>
      </c>
      <c r="S3" s="16">
        <v>6.1</v>
      </c>
      <c r="T3" s="16">
        <v>0.4</v>
      </c>
      <c r="U3" s="16">
        <v>0.6</v>
      </c>
      <c r="V3" s="16">
        <v>33.1</v>
      </c>
      <c r="W3" s="16">
        <v>3.1</v>
      </c>
      <c r="X3" s="16">
        <v>5.2</v>
      </c>
      <c r="Y3" s="16">
        <v>11.2</v>
      </c>
      <c r="Z3" s="16">
        <v>0.9</v>
      </c>
    </row>
    <row r="4" spans="1:26" x14ac:dyDescent="0.2">
      <c r="A4">
        <v>2021</v>
      </c>
      <c r="B4" t="s">
        <v>6</v>
      </c>
      <c r="C4" t="s">
        <v>4</v>
      </c>
      <c r="D4" s="8">
        <v>315290</v>
      </c>
      <c r="E4" s="8">
        <v>102551</v>
      </c>
      <c r="F4" s="8">
        <v>144</v>
      </c>
      <c r="G4" s="8">
        <v>969</v>
      </c>
      <c r="H4" s="8">
        <v>6907</v>
      </c>
      <c r="I4" s="8">
        <v>496</v>
      </c>
      <c r="J4" s="8">
        <v>1500</v>
      </c>
      <c r="K4" s="8">
        <v>155771</v>
      </c>
      <c r="L4" s="8">
        <v>11638</v>
      </c>
      <c r="M4" s="8">
        <v>7311</v>
      </c>
      <c r="N4" s="8">
        <v>25499</v>
      </c>
      <c r="O4" s="8">
        <v>2504</v>
      </c>
      <c r="P4" s="16">
        <v>32.5</v>
      </c>
      <c r="Q4" s="16">
        <v>0</v>
      </c>
      <c r="R4" s="16">
        <v>0.3</v>
      </c>
      <c r="S4" s="16">
        <v>2.2000000000000002</v>
      </c>
      <c r="T4" s="16">
        <v>0.2</v>
      </c>
      <c r="U4" s="16">
        <v>0.5</v>
      </c>
      <c r="V4" s="16">
        <v>49.4</v>
      </c>
      <c r="W4" s="16">
        <v>3.7</v>
      </c>
      <c r="X4" s="16">
        <v>2.2999999999999998</v>
      </c>
      <c r="Y4" s="16">
        <v>8.1</v>
      </c>
      <c r="Z4" s="16">
        <v>0.8</v>
      </c>
    </row>
    <row r="5" spans="1:26" x14ac:dyDescent="0.2">
      <c r="A5">
        <v>2021</v>
      </c>
      <c r="B5" t="s">
        <v>7</v>
      </c>
      <c r="C5" t="s">
        <v>4</v>
      </c>
      <c r="D5" s="8">
        <v>102699</v>
      </c>
      <c r="E5" s="8">
        <v>33466</v>
      </c>
      <c r="F5" s="8">
        <v>30</v>
      </c>
      <c r="G5" s="8">
        <v>801</v>
      </c>
      <c r="H5" s="8">
        <v>1782</v>
      </c>
      <c r="I5" s="8">
        <v>386</v>
      </c>
      <c r="J5" s="8">
        <v>509</v>
      </c>
      <c r="K5" s="8">
        <v>51958</v>
      </c>
      <c r="L5" s="8">
        <v>3798</v>
      </c>
      <c r="M5" s="8">
        <v>1951</v>
      </c>
      <c r="N5" s="8">
        <v>7185</v>
      </c>
      <c r="O5" s="8">
        <v>833</v>
      </c>
      <c r="P5" s="16">
        <v>32.6</v>
      </c>
      <c r="Q5" s="16">
        <v>0</v>
      </c>
      <c r="R5" s="16">
        <v>0.8</v>
      </c>
      <c r="S5" s="16">
        <v>1.7</v>
      </c>
      <c r="T5" s="16">
        <v>0.4</v>
      </c>
      <c r="U5" s="16">
        <v>0.5</v>
      </c>
      <c r="V5" s="16">
        <v>50.6</v>
      </c>
      <c r="W5" s="16">
        <v>3.7</v>
      </c>
      <c r="X5" s="16">
        <v>1.9</v>
      </c>
      <c r="Y5" s="16">
        <v>7</v>
      </c>
      <c r="Z5" s="16">
        <v>0.8</v>
      </c>
    </row>
    <row r="6" spans="1:26" x14ac:dyDescent="0.2">
      <c r="A6">
        <v>2021</v>
      </c>
      <c r="B6" t="s">
        <v>8</v>
      </c>
      <c r="C6" t="s">
        <v>4</v>
      </c>
      <c r="D6" s="8">
        <v>147610</v>
      </c>
      <c r="E6" s="8">
        <v>52349</v>
      </c>
      <c r="F6" s="8">
        <v>40</v>
      </c>
      <c r="G6" s="8">
        <v>438</v>
      </c>
      <c r="H6" s="8">
        <v>4442</v>
      </c>
      <c r="I6" s="8">
        <v>276</v>
      </c>
      <c r="J6" s="8">
        <v>968</v>
      </c>
      <c r="K6" s="8">
        <v>71696</v>
      </c>
      <c r="L6" s="8">
        <v>4890</v>
      </c>
      <c r="M6" s="8">
        <v>3060</v>
      </c>
      <c r="N6" s="8">
        <v>8371</v>
      </c>
      <c r="O6" s="8">
        <v>1080</v>
      </c>
      <c r="P6" s="16">
        <v>35.5</v>
      </c>
      <c r="Q6" s="16">
        <v>0</v>
      </c>
      <c r="R6" s="16">
        <v>0.3</v>
      </c>
      <c r="S6" s="16">
        <v>3</v>
      </c>
      <c r="T6" s="16">
        <v>0.2</v>
      </c>
      <c r="U6" s="16">
        <v>0.7</v>
      </c>
      <c r="V6" s="16">
        <v>48.6</v>
      </c>
      <c r="W6" s="16">
        <v>3.3</v>
      </c>
      <c r="X6" s="16">
        <v>2.1</v>
      </c>
      <c r="Y6" s="16">
        <v>5.7</v>
      </c>
      <c r="Z6" s="16">
        <v>0.7</v>
      </c>
    </row>
    <row r="7" spans="1:26" x14ac:dyDescent="0.2">
      <c r="A7">
        <v>2021</v>
      </c>
      <c r="B7" t="s">
        <v>9</v>
      </c>
      <c r="C7" t="s">
        <v>4</v>
      </c>
      <c r="D7" s="8">
        <v>117866</v>
      </c>
      <c r="E7" s="8">
        <v>36022</v>
      </c>
      <c r="F7" s="8">
        <v>64</v>
      </c>
      <c r="G7" s="8">
        <v>514</v>
      </c>
      <c r="H7" s="8">
        <v>6612</v>
      </c>
      <c r="I7" s="8">
        <v>830</v>
      </c>
      <c r="J7" s="8">
        <v>559</v>
      </c>
      <c r="K7" s="8">
        <v>55279</v>
      </c>
      <c r="L7" s="8">
        <v>6049</v>
      </c>
      <c r="M7" s="8">
        <v>3289</v>
      </c>
      <c r="N7" s="8">
        <v>7517</v>
      </c>
      <c r="O7" s="8">
        <v>1131</v>
      </c>
      <c r="P7" s="16">
        <v>30.6</v>
      </c>
      <c r="Q7" s="16">
        <v>0.1</v>
      </c>
      <c r="R7" s="16">
        <v>0.4</v>
      </c>
      <c r="S7" s="16">
        <v>5.6</v>
      </c>
      <c r="T7" s="16">
        <v>0.7</v>
      </c>
      <c r="U7" s="16">
        <v>0.5</v>
      </c>
      <c r="V7" s="16">
        <v>46.9</v>
      </c>
      <c r="W7" s="16">
        <v>5.0999999999999996</v>
      </c>
      <c r="X7" s="16">
        <v>2.8</v>
      </c>
      <c r="Y7" s="16">
        <v>6.4</v>
      </c>
      <c r="Z7" s="16">
        <v>1</v>
      </c>
    </row>
    <row r="8" spans="1:26" x14ac:dyDescent="0.2">
      <c r="A8">
        <v>2021</v>
      </c>
      <c r="B8" t="s">
        <v>10</v>
      </c>
      <c r="C8" t="s">
        <v>4</v>
      </c>
      <c r="D8" s="8">
        <v>252341</v>
      </c>
      <c r="E8" s="8">
        <v>85967</v>
      </c>
      <c r="F8" s="8">
        <v>152</v>
      </c>
      <c r="G8" s="8">
        <v>1738</v>
      </c>
      <c r="H8" s="8">
        <v>3845</v>
      </c>
      <c r="I8" s="8">
        <v>468</v>
      </c>
      <c r="J8" s="8">
        <v>1103</v>
      </c>
      <c r="K8" s="8">
        <v>122462</v>
      </c>
      <c r="L8" s="8">
        <v>8743</v>
      </c>
      <c r="M8" s="8">
        <v>4445</v>
      </c>
      <c r="N8" s="8">
        <v>21174</v>
      </c>
      <c r="O8" s="8">
        <v>2244</v>
      </c>
      <c r="P8" s="16">
        <v>34.1</v>
      </c>
      <c r="Q8" s="16">
        <v>0.1</v>
      </c>
      <c r="R8" s="16">
        <v>0.7</v>
      </c>
      <c r="S8" s="16">
        <v>1.5</v>
      </c>
      <c r="T8" s="16">
        <v>0.2</v>
      </c>
      <c r="U8" s="16">
        <v>0.4</v>
      </c>
      <c r="V8" s="16">
        <v>48.5</v>
      </c>
      <c r="W8" s="16">
        <v>3.5</v>
      </c>
      <c r="X8" s="16">
        <v>1.8</v>
      </c>
      <c r="Y8" s="16">
        <v>8.4</v>
      </c>
      <c r="Z8" s="16">
        <v>0.9</v>
      </c>
    </row>
    <row r="9" spans="1:26" x14ac:dyDescent="0.2">
      <c r="A9">
        <v>2021</v>
      </c>
      <c r="B9" t="s">
        <v>49</v>
      </c>
      <c r="C9" t="s">
        <v>11</v>
      </c>
      <c r="D9" s="8">
        <v>1264133</v>
      </c>
      <c r="E9" s="8">
        <v>436992</v>
      </c>
      <c r="F9" s="8">
        <v>607</v>
      </c>
      <c r="G9" s="8">
        <v>6739</v>
      </c>
      <c r="H9" s="8">
        <v>41268</v>
      </c>
      <c r="I9" s="8">
        <v>3690</v>
      </c>
      <c r="J9" s="8">
        <v>6706</v>
      </c>
      <c r="K9" s="8">
        <v>571834</v>
      </c>
      <c r="L9" s="8">
        <v>45084</v>
      </c>
      <c r="M9" s="8">
        <v>34235</v>
      </c>
      <c r="N9" s="8">
        <v>106324</v>
      </c>
      <c r="O9" s="8">
        <v>10654</v>
      </c>
      <c r="P9" s="16">
        <v>34.6</v>
      </c>
      <c r="Q9" s="16">
        <v>0</v>
      </c>
      <c r="R9" s="16">
        <v>0.5</v>
      </c>
      <c r="S9" s="16">
        <v>3.3</v>
      </c>
      <c r="T9" s="16">
        <v>0.3</v>
      </c>
      <c r="U9" s="16">
        <v>0.5</v>
      </c>
      <c r="V9" s="16">
        <v>45.2</v>
      </c>
      <c r="W9" s="16">
        <v>3.6</v>
      </c>
      <c r="X9" s="16">
        <v>2.7</v>
      </c>
      <c r="Y9" s="16">
        <v>8.4</v>
      </c>
      <c r="Z9" s="16">
        <v>0.8</v>
      </c>
    </row>
    <row r="10" spans="1:26" x14ac:dyDescent="0.2">
      <c r="A10">
        <v>2021</v>
      </c>
      <c r="B10" t="s">
        <v>12</v>
      </c>
      <c r="C10" t="s">
        <v>13</v>
      </c>
      <c r="D10" s="8">
        <v>26405206</v>
      </c>
      <c r="E10" s="8">
        <v>8321252</v>
      </c>
      <c r="F10" s="8">
        <v>504716</v>
      </c>
      <c r="G10" s="8">
        <v>517901</v>
      </c>
      <c r="H10" s="8">
        <v>1129537</v>
      </c>
      <c r="I10" s="8">
        <v>192884</v>
      </c>
      <c r="J10" s="8">
        <v>124207</v>
      </c>
      <c r="K10" s="8">
        <v>11751946</v>
      </c>
      <c r="L10" s="8">
        <v>1017401</v>
      </c>
      <c r="M10" s="8">
        <v>554210</v>
      </c>
      <c r="N10" s="8">
        <v>2016982</v>
      </c>
      <c r="O10" s="8">
        <v>274170</v>
      </c>
      <c r="P10" s="16">
        <v>31.5</v>
      </c>
      <c r="Q10" s="16">
        <v>1.9</v>
      </c>
      <c r="R10" s="16">
        <v>2</v>
      </c>
      <c r="S10" s="16">
        <v>4.3</v>
      </c>
      <c r="T10" s="16">
        <v>0.7</v>
      </c>
      <c r="U10" s="16">
        <v>0.5</v>
      </c>
      <c r="V10" s="16">
        <v>44.5</v>
      </c>
      <c r="W10" s="16">
        <v>3.9</v>
      </c>
      <c r="X10" s="16">
        <v>2.1</v>
      </c>
      <c r="Y10" s="16">
        <v>7.6</v>
      </c>
      <c r="Z10" s="16">
        <v>1</v>
      </c>
    </row>
    <row r="11" spans="1:26" x14ac:dyDescent="0.2">
      <c r="A11">
        <v>2021</v>
      </c>
      <c r="B11" t="s">
        <v>14</v>
      </c>
      <c r="C11" t="s">
        <v>13</v>
      </c>
      <c r="D11" s="8">
        <v>22045131</v>
      </c>
      <c r="E11" s="8">
        <v>6484429</v>
      </c>
      <c r="F11" s="8">
        <v>72874</v>
      </c>
      <c r="G11" s="8">
        <v>286827</v>
      </c>
      <c r="H11" s="8">
        <v>743469</v>
      </c>
      <c r="I11" s="8">
        <v>170340</v>
      </c>
      <c r="J11" s="8">
        <v>93803</v>
      </c>
      <c r="K11" s="8">
        <v>10854835</v>
      </c>
      <c r="L11" s="8">
        <v>953518</v>
      </c>
      <c r="M11" s="8">
        <v>425377</v>
      </c>
      <c r="N11" s="8">
        <v>1737529</v>
      </c>
      <c r="O11" s="8">
        <v>222130</v>
      </c>
      <c r="P11" s="16">
        <v>29.4</v>
      </c>
      <c r="Q11" s="16">
        <v>0.3</v>
      </c>
      <c r="R11" s="16">
        <v>1.3</v>
      </c>
      <c r="S11" s="16">
        <v>3.4</v>
      </c>
      <c r="T11" s="16">
        <v>0.8</v>
      </c>
      <c r="U11" s="16">
        <v>0.4</v>
      </c>
      <c r="V11" s="16">
        <v>49.2</v>
      </c>
      <c r="W11" s="16">
        <v>4.3</v>
      </c>
      <c r="X11" s="16">
        <v>1.9</v>
      </c>
      <c r="Y11" s="16">
        <v>7.9</v>
      </c>
      <c r="Z11" s="16">
        <v>1</v>
      </c>
    </row>
    <row r="12" spans="1:26" x14ac:dyDescent="0.2">
      <c r="A12">
        <v>2011</v>
      </c>
      <c r="B12" t="s">
        <v>3</v>
      </c>
      <c r="C12" t="s">
        <v>4</v>
      </c>
      <c r="D12" s="8">
        <f>SUM(E12:O12)</f>
        <v>84858</v>
      </c>
      <c r="E12" s="8">
        <v>6512</v>
      </c>
      <c r="F12" s="8">
        <v>121</v>
      </c>
      <c r="G12" s="8">
        <v>3051</v>
      </c>
      <c r="H12" s="8">
        <v>5472</v>
      </c>
      <c r="I12" s="8">
        <v>221</v>
      </c>
      <c r="J12" s="8">
        <v>891</v>
      </c>
      <c r="K12" s="8">
        <v>47051</v>
      </c>
      <c r="L12" s="8">
        <v>3891</v>
      </c>
      <c r="M12" s="8">
        <v>2537</v>
      </c>
      <c r="N12" s="8">
        <v>14579</v>
      </c>
      <c r="O12" s="8">
        <v>532</v>
      </c>
      <c r="P12" s="16">
        <f>100*E12/D12</f>
        <v>7.6739965589573167</v>
      </c>
      <c r="Q12" s="16">
        <f>100*F12/D12</f>
        <v>0.14259115227792313</v>
      </c>
      <c r="R12" s="16">
        <f>100*G12/D12</f>
        <v>3.5954182280987061</v>
      </c>
      <c r="S12" s="16">
        <f>100*H12/D12</f>
        <v>6.4484197129321927</v>
      </c>
      <c r="T12" s="16">
        <f>100*I12/D12</f>
        <v>0.26043507978033892</v>
      </c>
      <c r="U12" s="16">
        <f>100*J12/D12</f>
        <v>1.0499893940465248</v>
      </c>
      <c r="V12" s="16">
        <f>100*K12/D12</f>
        <v>55.446746329161655</v>
      </c>
      <c r="W12" s="16">
        <f>100*L12/D12</f>
        <v>4.5853072191189987</v>
      </c>
      <c r="X12" s="16">
        <f>100*M12/D12</f>
        <v>2.9897004407362888</v>
      </c>
      <c r="Y12" s="16">
        <f>100*N12/D12</f>
        <v>17.180466190577199</v>
      </c>
      <c r="Z12" s="16">
        <f>100*O12/D12</f>
        <v>0.62692969431285206</v>
      </c>
    </row>
    <row r="13" spans="1:26" x14ac:dyDescent="0.2">
      <c r="A13">
        <v>2011</v>
      </c>
      <c r="B13" t="s">
        <v>5</v>
      </c>
      <c r="C13" t="s">
        <v>4</v>
      </c>
      <c r="D13" s="8">
        <f t="shared" ref="D13:D18" si="0">SUM(E13:O13)</f>
        <v>209995</v>
      </c>
      <c r="E13" s="8">
        <v>9578</v>
      </c>
      <c r="F13" s="8">
        <v>287</v>
      </c>
      <c r="G13" s="8">
        <v>4150</v>
      </c>
      <c r="H13" s="8">
        <v>20216</v>
      </c>
      <c r="I13" s="8">
        <v>618</v>
      </c>
      <c r="J13" s="8">
        <v>2375</v>
      </c>
      <c r="K13" s="8">
        <v>104729</v>
      </c>
      <c r="L13" s="8">
        <v>10233</v>
      </c>
      <c r="M13" s="8">
        <v>16211</v>
      </c>
      <c r="N13" s="8">
        <v>40468</v>
      </c>
      <c r="O13" s="8">
        <v>1130</v>
      </c>
      <c r="P13" s="16">
        <f t="shared" ref="P13:P21" si="1">100*E13/D13</f>
        <v>4.5610609776423248</v>
      </c>
      <c r="Q13" s="16">
        <f t="shared" ref="Q13:Q21" si="2">100*F13/D13</f>
        <v>0.13666992071239792</v>
      </c>
      <c r="R13" s="16">
        <f t="shared" ref="R13:R21" si="3">100*G13/D13</f>
        <v>1.9762375294649872</v>
      </c>
      <c r="S13" s="16">
        <f t="shared" ref="S13:S21" si="4">100*H13/D13</f>
        <v>9.626895878473297</v>
      </c>
      <c r="T13" s="16">
        <f t="shared" ref="T13:T21" si="5">100*I13/D13</f>
        <v>0.29429272125526801</v>
      </c>
      <c r="U13" s="16">
        <f t="shared" ref="U13:U21" si="6">100*J13/D13</f>
        <v>1.1309793090311675</v>
      </c>
      <c r="V13" s="16">
        <f t="shared" ref="V13:V21" si="7">100*K13/D13</f>
        <v>49.872139812852687</v>
      </c>
      <c r="W13" s="16">
        <f t="shared" ref="W13:W21" si="8">100*L13/D13</f>
        <v>4.8729731660277622</v>
      </c>
      <c r="X13" s="16">
        <f t="shared" ref="X13:X21" si="9">100*M13/D13</f>
        <v>7.719707612086002</v>
      </c>
      <c r="Y13" s="16">
        <f t="shared" ref="Y13:Y21" si="10">100*N13/D13</f>
        <v>19.270935022262435</v>
      </c>
      <c r="Z13" s="16">
        <f t="shared" ref="Z13:Z21" si="11">100*O13/D13</f>
        <v>0.53810805019167118</v>
      </c>
    </row>
    <row r="14" spans="1:26" x14ac:dyDescent="0.2">
      <c r="A14">
        <v>2011</v>
      </c>
      <c r="B14" t="s">
        <v>6</v>
      </c>
      <c r="C14" t="s">
        <v>4</v>
      </c>
      <c r="D14" s="8">
        <f t="shared" si="0"/>
        <v>300040</v>
      </c>
      <c r="E14" s="8">
        <v>20995</v>
      </c>
      <c r="F14" s="8">
        <v>439</v>
      </c>
      <c r="G14" s="8">
        <v>3471</v>
      </c>
      <c r="H14" s="8">
        <v>12496</v>
      </c>
      <c r="I14" s="8">
        <v>504</v>
      </c>
      <c r="J14" s="8">
        <v>2736</v>
      </c>
      <c r="K14" s="8">
        <v>195239</v>
      </c>
      <c r="L14" s="8">
        <v>15340</v>
      </c>
      <c r="M14" s="8">
        <v>11356</v>
      </c>
      <c r="N14" s="8">
        <v>35854</v>
      </c>
      <c r="O14" s="8">
        <v>1610</v>
      </c>
      <c r="P14" s="16">
        <f t="shared" si="1"/>
        <v>6.9974003466204504</v>
      </c>
      <c r="Q14" s="16">
        <f t="shared" si="2"/>
        <v>0.14631382482335689</v>
      </c>
      <c r="R14" s="16">
        <f t="shared" si="3"/>
        <v>1.1568457538994801</v>
      </c>
      <c r="S14" s="16">
        <f t="shared" si="4"/>
        <v>4.1647780295960537</v>
      </c>
      <c r="T14" s="16">
        <f t="shared" si="5"/>
        <v>0.16797760298626849</v>
      </c>
      <c r="U14" s="16">
        <f t="shared" si="6"/>
        <v>0.91187841621117183</v>
      </c>
      <c r="V14" s="16">
        <f t="shared" si="7"/>
        <v>65.070990534595381</v>
      </c>
      <c r="W14" s="16">
        <f t="shared" si="8"/>
        <v>5.1126516464471408</v>
      </c>
      <c r="X14" s="16">
        <f t="shared" si="9"/>
        <v>3.7848286895080654</v>
      </c>
      <c r="Y14" s="16">
        <f t="shared" si="10"/>
        <v>11.949740034662046</v>
      </c>
      <c r="Z14" s="16">
        <f t="shared" si="11"/>
        <v>0.5365951206505799</v>
      </c>
    </row>
    <row r="15" spans="1:26" x14ac:dyDescent="0.2">
      <c r="A15">
        <v>2011</v>
      </c>
      <c r="B15" t="s">
        <v>7</v>
      </c>
      <c r="C15" t="s">
        <v>4</v>
      </c>
      <c r="D15" s="8">
        <f t="shared" si="0"/>
        <v>97563</v>
      </c>
      <c r="E15" s="8">
        <v>6422</v>
      </c>
      <c r="F15" s="8">
        <v>102</v>
      </c>
      <c r="G15" s="8">
        <v>2339</v>
      </c>
      <c r="H15" s="8">
        <v>2941</v>
      </c>
      <c r="I15" s="8">
        <v>366</v>
      </c>
      <c r="J15" s="8">
        <v>975</v>
      </c>
      <c r="K15" s="8">
        <v>66826</v>
      </c>
      <c r="L15" s="8">
        <v>5115</v>
      </c>
      <c r="M15" s="8">
        <v>2692</v>
      </c>
      <c r="N15" s="8">
        <v>9249</v>
      </c>
      <c r="O15" s="8">
        <v>536</v>
      </c>
      <c r="P15" s="16">
        <f t="shared" si="1"/>
        <v>6.58241341492164</v>
      </c>
      <c r="Q15" s="16">
        <f t="shared" si="2"/>
        <v>0.10454783063251437</v>
      </c>
      <c r="R15" s="16">
        <f t="shared" si="3"/>
        <v>2.3974252534259914</v>
      </c>
      <c r="S15" s="16">
        <f t="shared" si="4"/>
        <v>3.0144624499041646</v>
      </c>
      <c r="T15" s="16">
        <f t="shared" si="5"/>
        <v>0.37514221579902218</v>
      </c>
      <c r="U15" s="16">
        <f t="shared" si="6"/>
        <v>0.99935426339903444</v>
      </c>
      <c r="V15" s="16">
        <f t="shared" si="7"/>
        <v>68.495228724003979</v>
      </c>
      <c r="W15" s="16">
        <f t="shared" si="8"/>
        <v>5.2427662126010883</v>
      </c>
      <c r="X15" s="16">
        <f t="shared" si="9"/>
        <v>2.7592427457130264</v>
      </c>
      <c r="Y15" s="16">
        <f t="shared" si="10"/>
        <v>9.4800282894129939</v>
      </c>
      <c r="Z15" s="16">
        <f t="shared" si="11"/>
        <v>0.54938860018654612</v>
      </c>
    </row>
    <row r="16" spans="1:26" x14ac:dyDescent="0.2">
      <c r="A16">
        <v>2011</v>
      </c>
      <c r="B16" t="s">
        <v>8</v>
      </c>
      <c r="C16" t="s">
        <v>4</v>
      </c>
      <c r="D16" s="8">
        <f t="shared" si="0"/>
        <v>136531</v>
      </c>
      <c r="E16" s="8">
        <v>6479</v>
      </c>
      <c r="F16" s="8">
        <v>100</v>
      </c>
      <c r="G16" s="8">
        <v>1724</v>
      </c>
      <c r="H16" s="8">
        <v>6743</v>
      </c>
      <c r="I16" s="8">
        <v>263</v>
      </c>
      <c r="J16" s="8">
        <v>1906</v>
      </c>
      <c r="K16" s="8">
        <v>95258</v>
      </c>
      <c r="L16" s="8">
        <v>6948</v>
      </c>
      <c r="M16" s="8">
        <v>5356</v>
      </c>
      <c r="N16" s="8">
        <v>11150</v>
      </c>
      <c r="O16" s="8">
        <v>604</v>
      </c>
      <c r="P16" s="16">
        <f t="shared" si="1"/>
        <v>4.7454424269946021</v>
      </c>
      <c r="Q16" s="16">
        <f t="shared" si="2"/>
        <v>7.3243439218931963E-2</v>
      </c>
      <c r="R16" s="16">
        <f t="shared" si="3"/>
        <v>1.262716892134387</v>
      </c>
      <c r="S16" s="16">
        <f t="shared" si="4"/>
        <v>4.9388051065325822</v>
      </c>
      <c r="T16" s="16">
        <f t="shared" si="5"/>
        <v>0.19263024514579108</v>
      </c>
      <c r="U16" s="16">
        <f t="shared" si="6"/>
        <v>1.3960199515128433</v>
      </c>
      <c r="V16" s="16">
        <f t="shared" si="7"/>
        <v>69.770235331170213</v>
      </c>
      <c r="W16" s="16">
        <f t="shared" si="8"/>
        <v>5.0889541569313925</v>
      </c>
      <c r="X16" s="16">
        <f t="shared" si="9"/>
        <v>3.9229186045659961</v>
      </c>
      <c r="Y16" s="16">
        <f t="shared" si="10"/>
        <v>8.1666434729109145</v>
      </c>
      <c r="Z16" s="16">
        <f t="shared" si="11"/>
        <v>0.44239037288234906</v>
      </c>
    </row>
    <row r="17" spans="1:26" x14ac:dyDescent="0.2">
      <c r="A17">
        <v>2011</v>
      </c>
      <c r="B17" t="s">
        <v>9</v>
      </c>
      <c r="C17" t="s">
        <v>4</v>
      </c>
      <c r="D17" s="8">
        <f t="shared" si="0"/>
        <v>109499</v>
      </c>
      <c r="E17" s="8">
        <v>4353</v>
      </c>
      <c r="F17" s="8">
        <v>86</v>
      </c>
      <c r="G17" s="8">
        <v>1452</v>
      </c>
      <c r="H17" s="8">
        <v>9356</v>
      </c>
      <c r="I17" s="8">
        <v>507</v>
      </c>
      <c r="J17" s="8">
        <v>1177</v>
      </c>
      <c r="K17" s="8">
        <v>69539</v>
      </c>
      <c r="L17" s="8">
        <v>6747</v>
      </c>
      <c r="M17" s="8">
        <v>4667</v>
      </c>
      <c r="N17" s="8">
        <v>11063</v>
      </c>
      <c r="O17" s="8">
        <v>552</v>
      </c>
      <c r="P17" s="16">
        <f t="shared" si="1"/>
        <v>3.9753787705823798</v>
      </c>
      <c r="Q17" s="16">
        <f t="shared" si="2"/>
        <v>7.8539530041370237E-2</v>
      </c>
      <c r="R17" s="16">
        <f t="shared" si="3"/>
        <v>1.3260395072101114</v>
      </c>
      <c r="S17" s="16">
        <f t="shared" si="4"/>
        <v>8.5443702682216269</v>
      </c>
      <c r="T17" s="16">
        <f t="shared" si="5"/>
        <v>0.46301792710435713</v>
      </c>
      <c r="U17" s="16">
        <f t="shared" si="6"/>
        <v>1.0748956611475904</v>
      </c>
      <c r="V17" s="16">
        <f t="shared" si="7"/>
        <v>63.506516041242385</v>
      </c>
      <c r="W17" s="16">
        <f t="shared" si="8"/>
        <v>6.161700106850291</v>
      </c>
      <c r="X17" s="16">
        <f t="shared" si="9"/>
        <v>4.2621393802683132</v>
      </c>
      <c r="Y17" s="16">
        <f t="shared" si="10"/>
        <v>10.103288614507894</v>
      </c>
      <c r="Z17" s="16">
        <f t="shared" si="11"/>
        <v>0.50411419282367875</v>
      </c>
    </row>
    <row r="18" spans="1:26" x14ac:dyDescent="0.2">
      <c r="A18">
        <v>2011</v>
      </c>
      <c r="B18" t="s">
        <v>10</v>
      </c>
      <c r="C18" t="s">
        <v>4</v>
      </c>
      <c r="D18" s="8">
        <f t="shared" si="0"/>
        <v>239216</v>
      </c>
      <c r="E18" s="8">
        <v>17608</v>
      </c>
      <c r="F18" s="8">
        <v>385</v>
      </c>
      <c r="G18" s="8">
        <v>6233</v>
      </c>
      <c r="H18" s="8">
        <v>6412</v>
      </c>
      <c r="I18" s="8">
        <v>595</v>
      </c>
      <c r="J18" s="8">
        <v>1942</v>
      </c>
      <c r="K18" s="8">
        <v>154808</v>
      </c>
      <c r="L18" s="8">
        <v>11725</v>
      </c>
      <c r="M18" s="8">
        <v>6906</v>
      </c>
      <c r="N18" s="8">
        <v>31113</v>
      </c>
      <c r="O18" s="8">
        <v>1489</v>
      </c>
      <c r="P18" s="16">
        <f t="shared" si="1"/>
        <v>7.3607116580830709</v>
      </c>
      <c r="Q18" s="16">
        <f t="shared" si="2"/>
        <v>0.16094241187880409</v>
      </c>
      <c r="R18" s="16">
        <f t="shared" si="3"/>
        <v>2.6055949434820413</v>
      </c>
      <c r="S18" s="16">
        <f t="shared" si="4"/>
        <v>2.680422714199719</v>
      </c>
      <c r="T18" s="16">
        <f t="shared" si="5"/>
        <v>0.24872918199451541</v>
      </c>
      <c r="U18" s="16">
        <f t="shared" si="6"/>
        <v>0.81181860745100665</v>
      </c>
      <c r="V18" s="16">
        <f t="shared" si="7"/>
        <v>64.714734800347799</v>
      </c>
      <c r="W18" s="16">
        <f t="shared" si="8"/>
        <v>4.9014279981272155</v>
      </c>
      <c r="X18" s="16">
        <f t="shared" si="9"/>
        <v>2.8869306400909638</v>
      </c>
      <c r="Y18" s="16">
        <f t="shared" si="10"/>
        <v>13.006237041000603</v>
      </c>
      <c r="Z18" s="16">
        <f t="shared" si="11"/>
        <v>0.62245000334425793</v>
      </c>
    </row>
    <row r="19" spans="1:26" x14ac:dyDescent="0.2">
      <c r="A19">
        <v>2011</v>
      </c>
      <c r="B19" t="s">
        <v>49</v>
      </c>
      <c r="C19" t="s">
        <v>11</v>
      </c>
      <c r="D19" s="11">
        <f>SUM(D12:D18)</f>
        <v>1177702</v>
      </c>
      <c r="E19" s="11">
        <f t="shared" ref="E19:M19" si="12">SUM(E12:E18)</f>
        <v>71947</v>
      </c>
      <c r="F19" s="11">
        <f t="shared" ref="F19" si="13">SUM(F12:F18)</f>
        <v>1520</v>
      </c>
      <c r="G19" s="11">
        <f t="shared" ref="G19" si="14">SUM(G12:G18)</f>
        <v>22420</v>
      </c>
      <c r="H19" s="11">
        <f t="shared" ref="H19" si="15">SUM(H12:H18)</f>
        <v>63636</v>
      </c>
      <c r="I19" s="11">
        <f t="shared" ref="I19" si="16">SUM(I12:I18)</f>
        <v>3074</v>
      </c>
      <c r="J19" s="11">
        <f t="shared" ref="J19" si="17">SUM(J12:J18)</f>
        <v>12002</v>
      </c>
      <c r="K19" s="11">
        <f t="shared" ref="K19" si="18">SUM(K12:K18)</f>
        <v>733450</v>
      </c>
      <c r="L19" s="11">
        <f t="shared" ref="L19" si="19">SUM(L12:L18)</f>
        <v>59999</v>
      </c>
      <c r="M19" s="11">
        <f t="shared" ref="M19" si="20">SUM(M12:M18)</f>
        <v>49725</v>
      </c>
      <c r="N19" s="11">
        <f t="shared" ref="N19" si="21">SUM(N12:N18)</f>
        <v>153476</v>
      </c>
      <c r="O19" s="11">
        <f t="shared" ref="O19" si="22">SUM(O12:O18)</f>
        <v>6453</v>
      </c>
      <c r="P19" s="16">
        <f t="shared" si="1"/>
        <v>6.1091006043973772</v>
      </c>
      <c r="Q19" s="16">
        <f t="shared" si="2"/>
        <v>0.12906490776104651</v>
      </c>
      <c r="R19" s="16">
        <f t="shared" si="3"/>
        <v>1.9037073894754362</v>
      </c>
      <c r="S19" s="16">
        <f t="shared" si="4"/>
        <v>5.4034042567644445</v>
      </c>
      <c r="T19" s="16">
        <f t="shared" si="5"/>
        <v>0.2610167937220112</v>
      </c>
      <c r="U19" s="16">
        <f t="shared" si="6"/>
        <v>1.0191033045711053</v>
      </c>
      <c r="V19" s="16">
        <f t="shared" si="7"/>
        <v>62.278063550881292</v>
      </c>
      <c r="W19" s="16">
        <f t="shared" si="8"/>
        <v>5.0945825004967302</v>
      </c>
      <c r="X19" s="16">
        <f t="shared" si="9"/>
        <v>4.222205617380288</v>
      </c>
      <c r="Y19" s="16">
        <f t="shared" si="10"/>
        <v>13.031819594430509</v>
      </c>
      <c r="Z19" s="16">
        <f t="shared" si="11"/>
        <v>0.54793148011975867</v>
      </c>
    </row>
    <row r="20" spans="1:26" x14ac:dyDescent="0.2">
      <c r="A20">
        <v>2011</v>
      </c>
      <c r="B20" t="s">
        <v>12</v>
      </c>
      <c r="C20" t="s">
        <v>13</v>
      </c>
      <c r="D20" s="8">
        <f>SUM(E20:O20)</f>
        <v>25162721</v>
      </c>
      <c r="E20" s="8">
        <v>1349568</v>
      </c>
      <c r="F20" s="8">
        <v>1027625</v>
      </c>
      <c r="G20" s="8">
        <v>1343684</v>
      </c>
      <c r="H20" s="8">
        <v>1886539</v>
      </c>
      <c r="I20" s="8">
        <v>131465</v>
      </c>
      <c r="J20" s="8">
        <v>206550</v>
      </c>
      <c r="K20" s="8">
        <v>14345882</v>
      </c>
      <c r="L20" s="8">
        <v>1264553</v>
      </c>
      <c r="M20" s="8">
        <v>742675</v>
      </c>
      <c r="N20" s="8">
        <v>2701453</v>
      </c>
      <c r="O20" s="8">
        <v>162727</v>
      </c>
      <c r="P20" s="16">
        <f t="shared" si="1"/>
        <v>5.3633627301276361</v>
      </c>
      <c r="Q20" s="16">
        <f t="shared" si="2"/>
        <v>4.083918428376645</v>
      </c>
      <c r="R20" s="16">
        <f t="shared" si="3"/>
        <v>5.3399789315312916</v>
      </c>
      <c r="S20" s="16">
        <f t="shared" si="4"/>
        <v>7.4973569034922738</v>
      </c>
      <c r="T20" s="16">
        <f t="shared" si="5"/>
        <v>0.52245939538891684</v>
      </c>
      <c r="U20" s="16">
        <f t="shared" si="6"/>
        <v>0.82085717200456976</v>
      </c>
      <c r="V20" s="16">
        <f t="shared" si="7"/>
        <v>57.012443129659943</v>
      </c>
      <c r="W20" s="16">
        <f t="shared" si="8"/>
        <v>5.0255018127808988</v>
      </c>
      <c r="X20" s="16">
        <f t="shared" si="9"/>
        <v>2.951489228847707</v>
      </c>
      <c r="Y20" s="16">
        <f t="shared" si="10"/>
        <v>10.735933526425859</v>
      </c>
      <c r="Z20" s="16">
        <f t="shared" si="11"/>
        <v>0.64669874136425864</v>
      </c>
    </row>
    <row r="21" spans="1:26" x14ac:dyDescent="0.2">
      <c r="A21">
        <v>2011</v>
      </c>
      <c r="B21" t="s">
        <v>14</v>
      </c>
      <c r="C21" t="s">
        <v>13</v>
      </c>
      <c r="D21" s="8">
        <f>SUM(E21:O21)</f>
        <v>21163824</v>
      </c>
      <c r="E21" s="8">
        <v>1146889</v>
      </c>
      <c r="F21" s="8">
        <v>125362</v>
      </c>
      <c r="G21" s="8">
        <v>810964</v>
      </c>
      <c r="H21" s="8">
        <v>1324934</v>
      </c>
      <c r="I21" s="8">
        <v>111151</v>
      </c>
      <c r="J21" s="8">
        <v>160574</v>
      </c>
      <c r="K21" s="8">
        <v>13225056</v>
      </c>
      <c r="L21" s="8">
        <v>1194894</v>
      </c>
      <c r="M21" s="8">
        <v>580970</v>
      </c>
      <c r="N21" s="8">
        <v>2348841</v>
      </c>
      <c r="O21" s="8">
        <v>134189</v>
      </c>
      <c r="P21" s="16">
        <f t="shared" si="1"/>
        <v>5.4191010093450034</v>
      </c>
      <c r="Q21" s="16">
        <f t="shared" si="2"/>
        <v>0.59234096824846016</v>
      </c>
      <c r="R21" s="16">
        <f t="shared" si="3"/>
        <v>3.8318405974270058</v>
      </c>
      <c r="S21" s="16">
        <f t="shared" si="4"/>
        <v>6.2603714716206298</v>
      </c>
      <c r="T21" s="16">
        <f t="shared" si="5"/>
        <v>0.52519336770141356</v>
      </c>
      <c r="U21" s="16">
        <f t="shared" si="6"/>
        <v>0.75871921822823707</v>
      </c>
      <c r="V21" s="16">
        <f t="shared" si="7"/>
        <v>62.488971747260798</v>
      </c>
      <c r="W21" s="16">
        <f t="shared" si="8"/>
        <v>5.6459267474535793</v>
      </c>
      <c r="X21" s="16">
        <f t="shared" si="9"/>
        <v>2.745108823433799</v>
      </c>
      <c r="Y21" s="16">
        <f t="shared" si="10"/>
        <v>11.098377117481226</v>
      </c>
      <c r="Z21" s="16">
        <f t="shared" si="11"/>
        <v>0.63404893179984867</v>
      </c>
    </row>
    <row r="24" spans="1:26" x14ac:dyDescent="0.2">
      <c r="D24" s="11"/>
      <c r="R24" s="17"/>
    </row>
    <row r="25" spans="1:26" x14ac:dyDescent="0.2">
      <c r="H25" s="1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Data</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 Ashby</dc:creator>
  <cp:lastModifiedBy>Ben Ashby</cp:lastModifiedBy>
  <dcterms:created xsi:type="dcterms:W3CDTF">2026-01-16T16:30:10Z</dcterms:created>
  <dcterms:modified xsi:type="dcterms:W3CDTF">2026-01-21T10:55:34Z</dcterms:modified>
</cp:coreProperties>
</file>