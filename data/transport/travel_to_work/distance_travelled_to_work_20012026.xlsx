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files/IPR/Centres/Brunel Centre/Transport/"/>
    </mc:Choice>
  </mc:AlternateContent>
  <xr:revisionPtr revIDLastSave="0" documentId="13_ncr:1_{7720B33E-55C8-7040-82D9-BDD444DBCAA5}" xr6:coauthVersionLast="47" xr6:coauthVersionMax="47" xr10:uidLastSave="{00000000-0000-0000-0000-000000000000}"/>
  <bookViews>
    <workbookView xWindow="252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 i="1"/>
  <c r="O12" i="1"/>
  <c r="P12" i="1"/>
  <c r="Q12" i="1"/>
  <c r="R12" i="1"/>
  <c r="S12" i="1"/>
  <c r="T12" i="1"/>
  <c r="U12" i="1"/>
  <c r="V12" i="1"/>
  <c r="W12" i="1"/>
  <c r="X12" i="1"/>
  <c r="O13" i="1"/>
  <c r="P13" i="1"/>
  <c r="Q13" i="1"/>
  <c r="R13" i="1"/>
  <c r="S13" i="1"/>
  <c r="T13" i="1"/>
  <c r="U13" i="1"/>
  <c r="V13" i="1"/>
  <c r="W13" i="1"/>
  <c r="X13" i="1"/>
  <c r="O14" i="1"/>
  <c r="P14" i="1"/>
  <c r="Q14" i="1"/>
  <c r="R14" i="1"/>
  <c r="S14" i="1"/>
  <c r="T14" i="1"/>
  <c r="U14" i="1"/>
  <c r="V14" i="1"/>
  <c r="W14" i="1"/>
  <c r="X14" i="1"/>
  <c r="O15" i="1"/>
  <c r="P15" i="1"/>
  <c r="Q15" i="1"/>
  <c r="R15" i="1"/>
  <c r="S15" i="1"/>
  <c r="T15" i="1"/>
  <c r="U15" i="1"/>
  <c r="V15" i="1"/>
  <c r="W15" i="1"/>
  <c r="X15" i="1"/>
  <c r="O16" i="1"/>
  <c r="P16" i="1"/>
  <c r="Q16" i="1"/>
  <c r="R16" i="1"/>
  <c r="S16" i="1"/>
  <c r="T16" i="1"/>
  <c r="U16" i="1"/>
  <c r="V16" i="1"/>
  <c r="W16" i="1"/>
  <c r="X16" i="1"/>
  <c r="O17" i="1"/>
  <c r="P17" i="1"/>
  <c r="Q17" i="1"/>
  <c r="R17" i="1"/>
  <c r="S17" i="1"/>
  <c r="T17" i="1"/>
  <c r="U17" i="1"/>
  <c r="V17" i="1"/>
  <c r="W17" i="1"/>
  <c r="X17" i="1"/>
  <c r="O18" i="1"/>
  <c r="P18" i="1"/>
  <c r="Q18" i="1"/>
  <c r="R18" i="1"/>
  <c r="S18" i="1"/>
  <c r="T18" i="1"/>
  <c r="U18" i="1"/>
  <c r="V18" i="1"/>
  <c r="W18" i="1"/>
  <c r="X18" i="1"/>
  <c r="O19" i="1"/>
  <c r="P19" i="1"/>
  <c r="Q19" i="1"/>
  <c r="R19" i="1"/>
  <c r="S19" i="1"/>
  <c r="T19" i="1"/>
  <c r="U19" i="1"/>
  <c r="V19" i="1"/>
  <c r="W19" i="1"/>
  <c r="X19" i="1"/>
  <c r="O20" i="1"/>
  <c r="P20" i="1"/>
  <c r="Q20" i="1"/>
  <c r="R20" i="1"/>
  <c r="S20" i="1"/>
  <c r="T20" i="1"/>
  <c r="U20" i="1"/>
  <c r="V20" i="1"/>
  <c r="W20" i="1"/>
  <c r="X20" i="1"/>
  <c r="O21" i="1"/>
  <c r="P21" i="1"/>
  <c r="Q21" i="1"/>
  <c r="R21" i="1"/>
  <c r="S21" i="1"/>
  <c r="T21" i="1"/>
  <c r="U21" i="1"/>
  <c r="V21" i="1"/>
  <c r="W21" i="1"/>
  <c r="X21" i="1"/>
  <c r="N19" i="1"/>
  <c r="E19" i="1"/>
  <c r="F19" i="1"/>
  <c r="G19" i="1"/>
  <c r="H19" i="1"/>
  <c r="I19" i="1"/>
  <c r="J19" i="1"/>
  <c r="K19" i="1"/>
  <c r="L19" i="1"/>
  <c r="M19" i="1"/>
  <c r="D19" i="1"/>
  <c r="O3" i="1"/>
  <c r="P3" i="1"/>
  <c r="Q3" i="1"/>
  <c r="R3" i="1"/>
  <c r="S3" i="1"/>
  <c r="T3" i="1"/>
  <c r="U3" i="1"/>
  <c r="V3" i="1"/>
  <c r="W3" i="1"/>
  <c r="X3" i="1"/>
  <c r="O4" i="1"/>
  <c r="P4" i="1"/>
  <c r="Q4" i="1"/>
  <c r="R4" i="1"/>
  <c r="S4" i="1"/>
  <c r="T4" i="1"/>
  <c r="U4" i="1"/>
  <c r="V4" i="1"/>
  <c r="W4" i="1"/>
  <c r="X4" i="1"/>
  <c r="O5" i="1"/>
  <c r="P5" i="1"/>
  <c r="Q5" i="1"/>
  <c r="R5" i="1"/>
  <c r="S5" i="1"/>
  <c r="T5" i="1"/>
  <c r="U5" i="1"/>
  <c r="V5" i="1"/>
  <c r="W5" i="1"/>
  <c r="X5" i="1"/>
  <c r="O6" i="1"/>
  <c r="P6" i="1"/>
  <c r="Q6" i="1"/>
  <c r="R6" i="1"/>
  <c r="S6" i="1"/>
  <c r="T6" i="1"/>
  <c r="U6" i="1"/>
  <c r="V6" i="1"/>
  <c r="W6" i="1"/>
  <c r="X6" i="1"/>
  <c r="O7" i="1"/>
  <c r="P7" i="1"/>
  <c r="Q7" i="1"/>
  <c r="R7" i="1"/>
  <c r="S7" i="1"/>
  <c r="T7" i="1"/>
  <c r="U7" i="1"/>
  <c r="V7" i="1"/>
  <c r="W7" i="1"/>
  <c r="X7" i="1"/>
  <c r="O8" i="1"/>
  <c r="P8" i="1"/>
  <c r="Q8" i="1"/>
  <c r="R8" i="1"/>
  <c r="S8" i="1"/>
  <c r="T8" i="1"/>
  <c r="U8" i="1"/>
  <c r="V8" i="1"/>
  <c r="W8" i="1"/>
  <c r="X8" i="1"/>
  <c r="O9" i="1"/>
  <c r="P9" i="1"/>
  <c r="Q9" i="1"/>
  <c r="R9" i="1"/>
  <c r="S9" i="1"/>
  <c r="T9" i="1"/>
  <c r="U9" i="1"/>
  <c r="V9" i="1"/>
  <c r="W9" i="1"/>
  <c r="X9" i="1"/>
  <c r="O10" i="1"/>
  <c r="P10" i="1"/>
  <c r="Q10" i="1"/>
  <c r="R10" i="1"/>
  <c r="S10" i="1"/>
  <c r="T10" i="1"/>
  <c r="U10" i="1"/>
  <c r="V10" i="1"/>
  <c r="W10" i="1"/>
  <c r="X10" i="1"/>
  <c r="O11" i="1"/>
  <c r="P11" i="1"/>
  <c r="Q11" i="1"/>
  <c r="R11" i="1"/>
  <c r="S11" i="1"/>
  <c r="T11" i="1"/>
  <c r="U11" i="1"/>
  <c r="V11" i="1"/>
  <c r="W11" i="1"/>
  <c r="X11" i="1"/>
  <c r="X2" i="1"/>
  <c r="W2" i="1"/>
  <c r="V2" i="1"/>
  <c r="U2" i="1"/>
  <c r="T2" i="1"/>
  <c r="S2" i="1"/>
  <c r="R2" i="1"/>
  <c r="Q2" i="1"/>
  <c r="P2" i="1"/>
  <c r="O2" i="1"/>
</calcChain>
</file>

<file path=xl/sharedStrings.xml><?xml version="1.0" encoding="utf-8"?>
<sst xmlns="http://schemas.openxmlformats.org/spreadsheetml/2006/main" count="151" uniqueCount="107">
  <si>
    <t>date</t>
  </si>
  <si>
    <t>geography</t>
  </si>
  <si>
    <t>geography_type</t>
  </si>
  <si>
    <t>Bath and North East Somerset</t>
  </si>
  <si>
    <t>LA</t>
  </si>
  <si>
    <t>Bristol, City of</t>
  </si>
  <si>
    <t>Gloucestershire</t>
  </si>
  <si>
    <t>North Somerset</t>
  </si>
  <si>
    <t>South Gloucestershire</t>
  </si>
  <si>
    <t>Swindon</t>
  </si>
  <si>
    <t>Wiltshire</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</si>
  <si>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</si>
  <si>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</si>
  <si>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</si>
  <si>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</si>
  <si>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</si>
  <si>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</si>
  <si>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</si>
  <si>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</si>
  <si>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</si>
  <si>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</si>
  <si>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</si>
  <si>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</si>
  <si>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</si>
  <si>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</si>
  <si>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</si>
  <si>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</si>
  <si>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Total</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</si>
  <si>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</si>
  <si>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</si>
  <si>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</si>
  <si>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</si>
  <si>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</si>
  <si>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</si>
  <si>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</si>
  <si>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</si>
  <si>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</si>
  <si>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</si>
  <si>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Query livelinks</t>
  </si>
  <si>
    <t>https://www.nomisweb.co.uk/livelinks/18799.xlsx</t>
  </si>
  <si>
    <t xml:space="preserve">TS058 - Distance travelled to work </t>
  </si>
  <si>
    <t>https://www.ons.gov.uk/census/census2021dictionary/variablesbytopic/traveltoworkvariablescensus2021/distancetravelledtowork</t>
  </si>
  <si>
    <t>The Greater West of England Area (Bristol, Bath &amp; North East Somerset, South Gloucestershire, North Somerset, Swindon, Wiltshire) and individual local authorities, England  (+excluding London)</t>
  </si>
  <si>
    <t>TS058 - Distance travelled to work</t>
  </si>
  <si>
    <t>ONS Crown Copyright Reserved [from Nomis on 20 January 2026]</t>
  </si>
  <si>
    <t>population</t>
  </si>
  <si>
    <t>All usual residents aged 16 years and over in employment the week before the census</t>
  </si>
  <si>
    <t>units</t>
  </si>
  <si>
    <t>Persons</t>
  </si>
  <si>
    <t>Area</t>
  </si>
  <si>
    <t>Total: All usual residents aged 16 years and over in employment the week before the census</t>
  </si>
  <si>
    <t>Less than 2km</t>
  </si>
  <si>
    <t>2km to less than 5km</t>
  </si>
  <si>
    <t>5km to less than 10km</t>
  </si>
  <si>
    <t>10km to less than 20km</t>
  </si>
  <si>
    <t>20km to less than 30km</t>
  </si>
  <si>
    <t>30km to less than 40km</t>
  </si>
  <si>
    <t>40km to less than 60km</t>
  </si>
  <si>
    <t>60km and over</t>
  </si>
  <si>
    <t>Works mainly from home</t>
  </si>
  <si>
    <t>Works mainly at an offshore installation, in no fixed place, or outside the UK</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</si>
  <si>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</si>
  <si>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</si>
  <si>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The Greater West of England</t>
  </si>
  <si>
    <t>total_over_16_in_employment</t>
  </si>
  <si>
    <t>under_2km</t>
  </si>
  <si>
    <t>2_to_under_5km</t>
  </si>
  <si>
    <t>5_to_under_10km</t>
  </si>
  <si>
    <t>10_to_under_20km</t>
  </si>
  <si>
    <t>20_to_under_30km</t>
  </si>
  <si>
    <t>30_to_under_40km</t>
  </si>
  <si>
    <t>40_to_under_60km</t>
  </si>
  <si>
    <t>60_km_and_over</t>
  </si>
  <si>
    <t>works_mainly_from_home</t>
  </si>
  <si>
    <t>offshore_not_fixed_or_outside_uk</t>
  </si>
  <si>
    <t>under_2km_percent</t>
  </si>
  <si>
    <t>2_to_under_5km_percent</t>
  </si>
  <si>
    <t>5_to_under_10km_percent</t>
  </si>
  <si>
    <t>10_to_under_20km_percent</t>
  </si>
  <si>
    <t>20_to_under_30km_percent</t>
  </si>
  <si>
    <t>30_to_under_40km_percent</t>
  </si>
  <si>
    <t>40_to_under_60km_percent</t>
  </si>
  <si>
    <t>60_km_and_over_percent</t>
  </si>
  <si>
    <t>works_mainly_from_home_percent</t>
  </si>
  <si>
    <t>offshore_not_fixed_or_outside_uk_percent</t>
  </si>
  <si>
    <t>The distance, in kilometres, between a person's residential postcode and their workplace postcode measured in a straight line. A distance travelled of 0.1km indicates that the workplace postcode is the same as the residential postcode. Distances over 1200km are treated as invalid, and an imputed or estimated value is added.</t>
  </si>
  <si>
    <t>“Work mainly at or from home” is made up of those that ticked either the "Mainly work at or from home" box for the address of workplace question, or the “Work mainly at or from home” box for the method of travel to work question.</t>
  </si>
  <si>
    <t>Distance is calculated as the straight line distance between the enumeration postcode and the workplace postcode.</t>
  </si>
  <si>
    <t>Percentages of each category also reported.</t>
  </si>
  <si>
    <t>http://www.nomisweb.co.uk/livelinks/18800.xlsx</t>
  </si>
  <si>
    <t>QS702EW - Distance travelled to work</t>
  </si>
  <si>
    <t>All usual residents aged 16 to 74 in employment the week before the census</t>
  </si>
  <si>
    <t>rural urban</t>
  </si>
  <si>
    <t>uacounty09:Bath and North East Somerset</t>
  </si>
  <si>
    <t>uacounty09:Bristol, City of</t>
  </si>
  <si>
    <t>uacounty09:Gloucestershire</t>
  </si>
  <si>
    <t>uacounty09:North Somerset</t>
  </si>
  <si>
    <t>uacounty09:South Gloucestershire</t>
  </si>
  <si>
    <t>uacounty09:Swindon</t>
  </si>
  <si>
    <t>uacounty09:Wiltshire</t>
  </si>
  <si>
    <t>All categories: Distance travelled to work</t>
  </si>
  <si>
    <t>Work mainly at or from home</t>
  </si>
  <si>
    <t>Other</t>
  </si>
  <si>
    <t>In order to protect against disclosure of personal information, records have been swapped between different geographic areas. Some counts will be affected, particularly small counts at the lowest geographies.</t>
  </si>
  <si>
    <t>Aggregated by NOMIS (2021) for 2011 had to sum counts to get Greater West area.</t>
  </si>
  <si>
    <t>01/06/2021 (Not sure on exact date)</t>
  </si>
  <si>
    <t>other_combined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</si>
</sst>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7"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0" fontId="6" fillId="0" borderId="0" xfId="0" applyFont="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misweb.co.uk/livelinks/18800.xlsx" TargetMode="External"/><Relationship Id="rId2" Type="http://schemas.openxmlformats.org/officeDocument/2006/relationships/hyperlink" Target="https://www.nomisweb.co.uk/livelinks/18799.xlsx" TargetMode="External"/><Relationship Id="rId1" Type="http://schemas.openxmlformats.org/officeDocument/2006/relationships/hyperlink" Target="https://www.ons.gov.uk/census/census2021dictionary/variablesbytopic/traveltoworkvariablescensus2021/distancetravelledto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18"/>
  <sheetViews>
    <sheetView zoomScale="125" workbookViewId="0">
      <selection activeCell="B5" sqref="B5"/>
    </sheetView>
  </sheetViews>
  <sheetFormatPr baseColWidth="10" defaultRowHeight="16" x14ac:dyDescent="0.2"/>
  <cols>
    <col min="1" max="1" width="19.5" customWidth="1"/>
    <col min="2" max="2" width="54.5" customWidth="1"/>
  </cols>
  <sheetData>
    <row r="1" spans="1:4" x14ac:dyDescent="0.2">
      <c r="A1" s="1" t="s">
        <v>15</v>
      </c>
      <c r="B1" t="s">
        <v>26</v>
      </c>
    </row>
    <row r="2" spans="1:4" x14ac:dyDescent="0.2">
      <c r="A2" s="1" t="s">
        <v>16</v>
      </c>
      <c r="B2" t="s">
        <v>40</v>
      </c>
    </row>
    <row r="3" spans="1:4" x14ac:dyDescent="0.2">
      <c r="A3" s="1" t="s">
        <v>17</v>
      </c>
    </row>
    <row r="4" spans="1:4" x14ac:dyDescent="0.2">
      <c r="A4" s="1" t="s">
        <v>18</v>
      </c>
      <c r="B4" s="2" t="s">
        <v>105</v>
      </c>
    </row>
    <row r="5" spans="1:4" x14ac:dyDescent="0.2">
      <c r="A5" s="1" t="s">
        <v>19</v>
      </c>
    </row>
    <row r="6" spans="1:4" x14ac:dyDescent="0.2">
      <c r="A6" s="1" t="s">
        <v>38</v>
      </c>
      <c r="B6" s="10" t="s">
        <v>39</v>
      </c>
      <c r="C6" s="10" t="s">
        <v>89</v>
      </c>
    </row>
    <row r="7" spans="1:4" x14ac:dyDescent="0.2">
      <c r="A7" s="1" t="s">
        <v>20</v>
      </c>
      <c r="B7" s="10" t="s">
        <v>41</v>
      </c>
      <c r="D7" s="10"/>
    </row>
    <row r="8" spans="1:4" x14ac:dyDescent="0.2">
      <c r="A8" s="1" t="s">
        <v>21</v>
      </c>
      <c r="B8" s="3">
        <v>46042</v>
      </c>
    </row>
    <row r="9" spans="1:4" x14ac:dyDescent="0.2">
      <c r="A9" s="1" t="s">
        <v>22</v>
      </c>
      <c r="B9" s="3">
        <v>46042</v>
      </c>
    </row>
    <row r="10" spans="1:4" ht="32" x14ac:dyDescent="0.2">
      <c r="A10" s="1" t="s">
        <v>23</v>
      </c>
      <c r="B10" t="s">
        <v>42</v>
      </c>
    </row>
    <row r="11" spans="1:4" x14ac:dyDescent="0.2">
      <c r="A11" s="1" t="s">
        <v>24</v>
      </c>
      <c r="B11" t="s">
        <v>104</v>
      </c>
    </row>
    <row r="12" spans="1:4" x14ac:dyDescent="0.2">
      <c r="A12" s="1" t="s">
        <v>25</v>
      </c>
      <c r="B12" t="s">
        <v>85</v>
      </c>
    </row>
    <row r="14" spans="1:4" x14ac:dyDescent="0.2">
      <c r="B14" t="s">
        <v>86</v>
      </c>
    </row>
    <row r="16" spans="1:4" x14ac:dyDescent="0.2">
      <c r="B16" t="s">
        <v>87</v>
      </c>
    </row>
    <row r="18" spans="2:2" x14ac:dyDescent="0.2">
      <c r="B18" t="s">
        <v>88</v>
      </c>
    </row>
  </sheetData>
  <hyperlinks>
    <hyperlink ref="B7" r:id="rId1" xr:uid="{794BDF6B-C7B9-DF4F-B1F5-2519227EFD60}"/>
    <hyperlink ref="B6" r:id="rId2" xr:uid="{D65A5B9D-E990-CF4C-AF5C-08650D969268}"/>
    <hyperlink ref="C6" r:id="rId3" display="https://www.nomisweb.co.uk/livelinks/18800.xlsx" xr:uid="{0C984766-CD1A-824F-B70C-5DD32CC2A7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14" zoomScale="134" workbookViewId="0">
      <selection activeCell="G18" sqref="G18"/>
    </sheetView>
  </sheetViews>
  <sheetFormatPr baseColWidth="10" defaultRowHeight="16" x14ac:dyDescent="0.2"/>
  <sheetData>
    <row r="1" spans="1:12" x14ac:dyDescent="0.2">
      <c r="A1" s="4" t="s">
        <v>43</v>
      </c>
    </row>
    <row r="2" spans="1:12" x14ac:dyDescent="0.2">
      <c r="A2" s="5" t="s">
        <v>44</v>
      </c>
    </row>
    <row r="4" spans="1:12" x14ac:dyDescent="0.2">
      <c r="A4" s="6" t="s">
        <v>45</v>
      </c>
      <c r="B4" s="6" t="s">
        <v>46</v>
      </c>
    </row>
    <row r="5" spans="1:12" x14ac:dyDescent="0.2">
      <c r="A5" s="6" t="s">
        <v>47</v>
      </c>
      <c r="B5" s="6" t="s">
        <v>48</v>
      </c>
    </row>
    <row r="6" spans="1:12" x14ac:dyDescent="0.2">
      <c r="A6" s="6" t="s">
        <v>0</v>
      </c>
      <c r="B6" s="6">
        <v>2021</v>
      </c>
    </row>
    <row r="8" spans="1:12" ht="140" x14ac:dyDescent="0.2">
      <c r="A8" s="7" t="s">
        <v>49</v>
      </c>
      <c r="B8" s="8" t="s">
        <v>50</v>
      </c>
      <c r="C8" s="8" t="s">
        <v>51</v>
      </c>
      <c r="D8" s="8" t="s">
        <v>52</v>
      </c>
      <c r="E8" s="8" t="s">
        <v>53</v>
      </c>
      <c r="F8" s="8" t="s">
        <v>54</v>
      </c>
      <c r="G8" s="8" t="s">
        <v>55</v>
      </c>
      <c r="H8" s="8" t="s">
        <v>56</v>
      </c>
      <c r="I8" s="8" t="s">
        <v>57</v>
      </c>
      <c r="J8" s="8" t="s">
        <v>58</v>
      </c>
      <c r="K8" s="8" t="s">
        <v>59</v>
      </c>
      <c r="L8" s="8" t="s">
        <v>60</v>
      </c>
    </row>
    <row r="9" spans="1:12" x14ac:dyDescent="0.2">
      <c r="A9" s="6" t="s">
        <v>28</v>
      </c>
      <c r="B9" s="9">
        <v>89812</v>
      </c>
      <c r="C9" s="9">
        <v>11461</v>
      </c>
      <c r="D9" s="9">
        <v>9827</v>
      </c>
      <c r="E9" s="9">
        <v>6889</v>
      </c>
      <c r="F9" s="9">
        <v>10850</v>
      </c>
      <c r="G9" s="9">
        <v>2385</v>
      </c>
      <c r="H9" s="9">
        <v>480</v>
      </c>
      <c r="I9" s="9">
        <v>600</v>
      </c>
      <c r="J9" s="9">
        <v>1154</v>
      </c>
      <c r="K9" s="9">
        <v>34611</v>
      </c>
      <c r="L9" s="9">
        <v>11555</v>
      </c>
    </row>
    <row r="10" spans="1:12" x14ac:dyDescent="0.2">
      <c r="A10" s="6" t="s">
        <v>29</v>
      </c>
      <c r="B10" s="9">
        <v>238510</v>
      </c>
      <c r="C10" s="9">
        <v>30808</v>
      </c>
      <c r="D10" s="9">
        <v>42525</v>
      </c>
      <c r="E10" s="9">
        <v>25277</v>
      </c>
      <c r="F10" s="9">
        <v>11434</v>
      </c>
      <c r="G10" s="9">
        <v>1827</v>
      </c>
      <c r="H10" s="9">
        <v>1514</v>
      </c>
      <c r="I10" s="9">
        <v>1730</v>
      </c>
      <c r="J10" s="9">
        <v>2561</v>
      </c>
      <c r="K10" s="9">
        <v>92026</v>
      </c>
      <c r="L10" s="9">
        <v>28808</v>
      </c>
    </row>
    <row r="11" spans="1:12" x14ac:dyDescent="0.2">
      <c r="A11" s="6" t="s">
        <v>30</v>
      </c>
      <c r="B11" s="9">
        <v>315293</v>
      </c>
      <c r="C11" s="9">
        <v>38764</v>
      </c>
      <c r="D11" s="9">
        <v>35434</v>
      </c>
      <c r="E11" s="9">
        <v>31381</v>
      </c>
      <c r="F11" s="9">
        <v>33162</v>
      </c>
      <c r="G11" s="9">
        <v>13684</v>
      </c>
      <c r="H11" s="9">
        <v>5911</v>
      </c>
      <c r="I11" s="9">
        <v>4818</v>
      </c>
      <c r="J11" s="9">
        <v>4725</v>
      </c>
      <c r="K11" s="9">
        <v>102551</v>
      </c>
      <c r="L11" s="9">
        <v>44863</v>
      </c>
    </row>
    <row r="12" spans="1:12" x14ac:dyDescent="0.2">
      <c r="A12" s="6" t="s">
        <v>31</v>
      </c>
      <c r="B12" s="9">
        <v>102702</v>
      </c>
      <c r="C12" s="9">
        <v>12386</v>
      </c>
      <c r="D12" s="9">
        <v>9580</v>
      </c>
      <c r="E12" s="9">
        <v>9107</v>
      </c>
      <c r="F12" s="9">
        <v>13035</v>
      </c>
      <c r="G12" s="9">
        <v>6532</v>
      </c>
      <c r="H12" s="9">
        <v>2206</v>
      </c>
      <c r="I12" s="9">
        <v>820</v>
      </c>
      <c r="J12" s="9">
        <v>1178</v>
      </c>
      <c r="K12" s="9">
        <v>33466</v>
      </c>
      <c r="L12" s="9">
        <v>14392</v>
      </c>
    </row>
    <row r="13" spans="1:12" x14ac:dyDescent="0.2">
      <c r="A13" s="6" t="s">
        <v>32</v>
      </c>
      <c r="B13" s="9">
        <v>147610</v>
      </c>
      <c r="C13" s="9">
        <v>14084</v>
      </c>
      <c r="D13" s="9">
        <v>15483</v>
      </c>
      <c r="E13" s="9">
        <v>22949</v>
      </c>
      <c r="F13" s="9">
        <v>15231</v>
      </c>
      <c r="G13" s="9">
        <v>2614</v>
      </c>
      <c r="H13" s="9">
        <v>1205</v>
      </c>
      <c r="I13" s="9">
        <v>1273</v>
      </c>
      <c r="J13" s="9">
        <v>1464</v>
      </c>
      <c r="K13" s="9">
        <v>52349</v>
      </c>
      <c r="L13" s="9">
        <v>20958</v>
      </c>
    </row>
    <row r="14" spans="1:12" x14ac:dyDescent="0.2">
      <c r="A14" s="6" t="s">
        <v>33</v>
      </c>
      <c r="B14" s="9">
        <v>117869</v>
      </c>
      <c r="C14" s="9">
        <v>13011</v>
      </c>
      <c r="D14" s="9">
        <v>22630</v>
      </c>
      <c r="E14" s="9">
        <v>15402</v>
      </c>
      <c r="F14" s="9">
        <v>4584</v>
      </c>
      <c r="G14" s="9">
        <v>3227</v>
      </c>
      <c r="H14" s="9">
        <v>1882</v>
      </c>
      <c r="I14" s="9">
        <v>2920</v>
      </c>
      <c r="J14" s="9">
        <v>2189</v>
      </c>
      <c r="K14" s="9">
        <v>36022</v>
      </c>
      <c r="L14" s="9">
        <v>16002</v>
      </c>
    </row>
    <row r="15" spans="1:12" x14ac:dyDescent="0.2">
      <c r="A15" s="6" t="s">
        <v>34</v>
      </c>
      <c r="B15" s="9">
        <v>252343</v>
      </c>
      <c r="C15" s="9">
        <v>29517</v>
      </c>
      <c r="D15" s="9">
        <v>18751</v>
      </c>
      <c r="E15" s="9">
        <v>22318</v>
      </c>
      <c r="F15" s="9">
        <v>28376</v>
      </c>
      <c r="G15" s="9">
        <v>11760</v>
      </c>
      <c r="H15" s="9">
        <v>8488</v>
      </c>
      <c r="I15" s="9">
        <v>6689</v>
      </c>
      <c r="J15" s="9">
        <v>5146</v>
      </c>
      <c r="K15" s="9">
        <v>85967</v>
      </c>
      <c r="L15" s="9">
        <v>35331</v>
      </c>
    </row>
    <row r="16" spans="1:12" x14ac:dyDescent="0.2">
      <c r="A16" s="6" t="s">
        <v>35</v>
      </c>
      <c r="B16" s="9">
        <v>26405215</v>
      </c>
      <c r="C16" s="9">
        <v>2898994</v>
      </c>
      <c r="D16" s="9">
        <v>3335948</v>
      </c>
      <c r="E16" s="9">
        <v>3099302</v>
      </c>
      <c r="F16" s="9">
        <v>2750302</v>
      </c>
      <c r="G16" s="9">
        <v>1051968</v>
      </c>
      <c r="H16" s="9">
        <v>439294</v>
      </c>
      <c r="I16" s="9">
        <v>336581</v>
      </c>
      <c r="J16" s="9">
        <v>355062</v>
      </c>
      <c r="K16" s="9">
        <v>8321252</v>
      </c>
      <c r="L16" s="9">
        <v>3816512</v>
      </c>
    </row>
    <row r="17" spans="1:13" x14ac:dyDescent="0.2">
      <c r="A17" s="6" t="s">
        <v>36</v>
      </c>
      <c r="B17" s="9">
        <v>22045138</v>
      </c>
      <c r="C17" s="9">
        <v>2567803</v>
      </c>
      <c r="D17" s="9">
        <v>2851054</v>
      </c>
      <c r="E17" s="9">
        <v>2565631</v>
      </c>
      <c r="F17" s="9">
        <v>2340772</v>
      </c>
      <c r="G17" s="9">
        <v>972071</v>
      </c>
      <c r="H17" s="9">
        <v>416149</v>
      </c>
      <c r="I17" s="9">
        <v>320773</v>
      </c>
      <c r="J17" s="9">
        <v>325145</v>
      </c>
      <c r="K17" s="9">
        <v>6484429</v>
      </c>
      <c r="L17" s="9">
        <v>3201311</v>
      </c>
    </row>
    <row r="18" spans="1:13" x14ac:dyDescent="0.2">
      <c r="A18" s="6" t="s">
        <v>37</v>
      </c>
      <c r="B18" s="9">
        <v>1264139</v>
      </c>
      <c r="C18" s="9">
        <v>150031</v>
      </c>
      <c r="D18" s="9">
        <v>154230</v>
      </c>
      <c r="E18" s="9">
        <v>133323</v>
      </c>
      <c r="F18" s="9">
        <v>116672</v>
      </c>
      <c r="G18" s="9">
        <v>42029</v>
      </c>
      <c r="H18" s="9">
        <v>21686</v>
      </c>
      <c r="I18" s="9">
        <v>18850</v>
      </c>
      <c r="J18" s="9">
        <v>18417</v>
      </c>
      <c r="K18" s="9">
        <v>436992</v>
      </c>
      <c r="L18" s="9">
        <v>171909</v>
      </c>
    </row>
    <row r="20" spans="1:13" x14ac:dyDescent="0.2">
      <c r="A20" s="5" t="s">
        <v>61</v>
      </c>
    </row>
    <row r="21" spans="1:13" x14ac:dyDescent="0.2">
      <c r="A21" s="5" t="s">
        <v>62</v>
      </c>
    </row>
    <row r="22" spans="1:13" x14ac:dyDescent="0.2">
      <c r="A22" s="6"/>
      <c r="B22" s="9"/>
      <c r="C22" s="9"/>
      <c r="D22" s="9"/>
      <c r="E22" s="9"/>
      <c r="F22" s="9"/>
      <c r="G22" s="9"/>
      <c r="H22" s="9"/>
      <c r="I22" s="9"/>
      <c r="J22" s="9"/>
      <c r="K22" s="9"/>
      <c r="L22" s="9"/>
      <c r="M22" s="9"/>
    </row>
    <row r="23" spans="1:13" x14ac:dyDescent="0.2">
      <c r="A23" s="4" t="s">
        <v>90</v>
      </c>
    </row>
    <row r="24" spans="1:13" x14ac:dyDescent="0.2">
      <c r="A24" s="5" t="s">
        <v>44</v>
      </c>
    </row>
    <row r="26" spans="1:13" x14ac:dyDescent="0.2">
      <c r="A26" s="6" t="s">
        <v>45</v>
      </c>
      <c r="B26" s="6" t="s">
        <v>91</v>
      </c>
    </row>
    <row r="27" spans="1:13" x14ac:dyDescent="0.2">
      <c r="A27" s="6" t="s">
        <v>47</v>
      </c>
      <c r="B27" s="6" t="s">
        <v>48</v>
      </c>
    </row>
    <row r="28" spans="1:13" x14ac:dyDescent="0.2">
      <c r="A28" s="6" t="s">
        <v>0</v>
      </c>
      <c r="B28" s="6">
        <v>2011</v>
      </c>
    </row>
    <row r="29" spans="1:13" x14ac:dyDescent="0.2">
      <c r="A29" s="6" t="s">
        <v>92</v>
      </c>
      <c r="B29" s="6" t="s">
        <v>27</v>
      </c>
    </row>
    <row r="31" spans="1:13" ht="52" customHeight="1" x14ac:dyDescent="0.2">
      <c r="A31" s="7" t="s">
        <v>49</v>
      </c>
      <c r="B31" s="8" t="s">
        <v>100</v>
      </c>
      <c r="C31" s="8" t="s">
        <v>51</v>
      </c>
      <c r="D31" s="8" t="s">
        <v>52</v>
      </c>
      <c r="E31" s="8" t="s">
        <v>53</v>
      </c>
      <c r="F31" s="8" t="s">
        <v>54</v>
      </c>
      <c r="G31" s="8" t="s">
        <v>55</v>
      </c>
      <c r="H31" s="8" t="s">
        <v>56</v>
      </c>
      <c r="I31" s="8" t="s">
        <v>57</v>
      </c>
      <c r="J31" s="8" t="s">
        <v>58</v>
      </c>
      <c r="K31" s="8" t="s">
        <v>101</v>
      </c>
      <c r="L31" s="8" t="s">
        <v>102</v>
      </c>
    </row>
    <row r="32" spans="1:13" x14ac:dyDescent="0.2">
      <c r="A32" s="6" t="s">
        <v>93</v>
      </c>
      <c r="B32" s="9">
        <v>84858</v>
      </c>
      <c r="C32" s="9">
        <v>17252</v>
      </c>
      <c r="D32" s="9">
        <v>15658</v>
      </c>
      <c r="E32" s="9">
        <v>9527</v>
      </c>
      <c r="F32" s="9">
        <v>16284</v>
      </c>
      <c r="G32" s="9">
        <v>3816</v>
      </c>
      <c r="H32" s="9">
        <v>708</v>
      </c>
      <c r="I32" s="9">
        <v>1246</v>
      </c>
      <c r="J32" s="9">
        <v>2787</v>
      </c>
      <c r="K32" s="9">
        <v>10624</v>
      </c>
      <c r="L32" s="9">
        <v>6956</v>
      </c>
    </row>
    <row r="33" spans="1:13" x14ac:dyDescent="0.2">
      <c r="A33" s="6" t="s">
        <v>94</v>
      </c>
      <c r="B33" s="9">
        <v>209995</v>
      </c>
      <c r="C33" s="9">
        <v>45846</v>
      </c>
      <c r="D33" s="9">
        <v>63042</v>
      </c>
      <c r="E33" s="9">
        <v>35751</v>
      </c>
      <c r="F33" s="9">
        <v>15836</v>
      </c>
      <c r="G33" s="9">
        <v>2946</v>
      </c>
      <c r="H33" s="9">
        <v>2111</v>
      </c>
      <c r="I33" s="9">
        <v>2808</v>
      </c>
      <c r="J33" s="9">
        <v>6856</v>
      </c>
      <c r="K33" s="9">
        <v>17841</v>
      </c>
      <c r="L33" s="9">
        <v>16958</v>
      </c>
    </row>
    <row r="34" spans="1:13" x14ac:dyDescent="0.2">
      <c r="A34" s="6" t="s">
        <v>95</v>
      </c>
      <c r="B34" s="9">
        <v>300040</v>
      </c>
      <c r="C34" s="9">
        <v>55452</v>
      </c>
      <c r="D34" s="9">
        <v>51602</v>
      </c>
      <c r="E34" s="9">
        <v>41982</v>
      </c>
      <c r="F34" s="9">
        <v>43590</v>
      </c>
      <c r="G34" s="9">
        <v>18074</v>
      </c>
      <c r="H34" s="9">
        <v>8123</v>
      </c>
      <c r="I34" s="9">
        <v>8172</v>
      </c>
      <c r="J34" s="9">
        <v>11481</v>
      </c>
      <c r="K34" s="9">
        <v>37306</v>
      </c>
      <c r="L34" s="9">
        <v>24258</v>
      </c>
    </row>
    <row r="35" spans="1:13" x14ac:dyDescent="0.2">
      <c r="A35" s="6" t="s">
        <v>96</v>
      </c>
      <c r="B35" s="9">
        <v>97563</v>
      </c>
      <c r="C35" s="9">
        <v>17364</v>
      </c>
      <c r="D35" s="9">
        <v>12659</v>
      </c>
      <c r="E35" s="9">
        <v>12469</v>
      </c>
      <c r="F35" s="9">
        <v>19313</v>
      </c>
      <c r="G35" s="9">
        <v>8229</v>
      </c>
      <c r="H35" s="9">
        <v>2789</v>
      </c>
      <c r="I35" s="9">
        <v>1191</v>
      </c>
      <c r="J35" s="9">
        <v>3726</v>
      </c>
      <c r="K35" s="9">
        <v>11734</v>
      </c>
      <c r="L35" s="9">
        <v>8089</v>
      </c>
    </row>
    <row r="36" spans="1:13" x14ac:dyDescent="0.2">
      <c r="A36" s="6" t="s">
        <v>97</v>
      </c>
      <c r="B36" s="9">
        <v>136531</v>
      </c>
      <c r="C36" s="9">
        <v>21120</v>
      </c>
      <c r="D36" s="9">
        <v>22334</v>
      </c>
      <c r="E36" s="9">
        <v>34619</v>
      </c>
      <c r="F36" s="9">
        <v>22076</v>
      </c>
      <c r="G36" s="9">
        <v>3643</v>
      </c>
      <c r="H36" s="9">
        <v>1730</v>
      </c>
      <c r="I36" s="9">
        <v>2551</v>
      </c>
      <c r="J36" s="9">
        <v>4599</v>
      </c>
      <c r="K36" s="9">
        <v>12787</v>
      </c>
      <c r="L36" s="9">
        <v>11072</v>
      </c>
    </row>
    <row r="37" spans="1:13" x14ac:dyDescent="0.2">
      <c r="A37" s="6" t="s">
        <v>98</v>
      </c>
      <c r="B37" s="9">
        <v>109499</v>
      </c>
      <c r="C37" s="9">
        <v>20280</v>
      </c>
      <c r="D37" s="9">
        <v>31812</v>
      </c>
      <c r="E37" s="9">
        <v>18354</v>
      </c>
      <c r="F37" s="9">
        <v>5507</v>
      </c>
      <c r="G37" s="9">
        <v>3104</v>
      </c>
      <c r="H37" s="9">
        <v>2333</v>
      </c>
      <c r="I37" s="9">
        <v>4312</v>
      </c>
      <c r="J37" s="9">
        <v>6722</v>
      </c>
      <c r="K37" s="9">
        <v>8849</v>
      </c>
      <c r="L37" s="9">
        <v>8226</v>
      </c>
    </row>
    <row r="38" spans="1:13" x14ac:dyDescent="0.2">
      <c r="A38" s="6" t="s">
        <v>99</v>
      </c>
      <c r="B38" s="9">
        <v>239216</v>
      </c>
      <c r="C38" s="9">
        <v>46432</v>
      </c>
      <c r="D38" s="9">
        <v>25593</v>
      </c>
      <c r="E38" s="9">
        <v>31023</v>
      </c>
      <c r="F38" s="9">
        <v>38325</v>
      </c>
      <c r="G38" s="9">
        <v>16609</v>
      </c>
      <c r="H38" s="9">
        <v>10406</v>
      </c>
      <c r="I38" s="9">
        <v>7302</v>
      </c>
      <c r="J38" s="9">
        <v>12013</v>
      </c>
      <c r="K38" s="9">
        <v>32701</v>
      </c>
      <c r="L38" s="9">
        <v>18812</v>
      </c>
    </row>
    <row r="39" spans="1:13" x14ac:dyDescent="0.2">
      <c r="A39" s="6" t="s">
        <v>35</v>
      </c>
      <c r="B39" s="9">
        <v>25162721</v>
      </c>
      <c r="C39" s="9">
        <v>4170138</v>
      </c>
      <c r="D39" s="9">
        <v>4627289</v>
      </c>
      <c r="E39" s="9">
        <v>4364988</v>
      </c>
      <c r="F39" s="9">
        <v>3848064</v>
      </c>
      <c r="G39" s="9">
        <v>1439855</v>
      </c>
      <c r="H39" s="9">
        <v>642205</v>
      </c>
      <c r="I39" s="9">
        <v>586489</v>
      </c>
      <c r="J39" s="9">
        <v>773984</v>
      </c>
      <c r="K39" s="9">
        <v>2581832</v>
      </c>
      <c r="L39" s="9">
        <v>2127877</v>
      </c>
    </row>
    <row r="40" spans="1:13" x14ac:dyDescent="0.2">
      <c r="A40" s="6" t="s">
        <v>36</v>
      </c>
      <c r="B40" s="9">
        <v>21163824</v>
      </c>
      <c r="C40" s="9">
        <v>3695553</v>
      </c>
      <c r="D40" s="9">
        <v>3911353</v>
      </c>
      <c r="E40" s="9">
        <v>3438342</v>
      </c>
      <c r="F40" s="9">
        <v>3052231</v>
      </c>
      <c r="G40" s="9">
        <v>1285266</v>
      </c>
      <c r="H40" s="9">
        <v>603895</v>
      </c>
      <c r="I40" s="9">
        <v>558195</v>
      </c>
      <c r="J40" s="9">
        <v>721901</v>
      </c>
      <c r="K40" s="9">
        <v>2201167</v>
      </c>
      <c r="L40" s="9">
        <v>1695921</v>
      </c>
    </row>
    <row r="42" spans="1:13" x14ac:dyDescent="0.2">
      <c r="A42" s="5" t="s">
        <v>103</v>
      </c>
    </row>
    <row r="43" spans="1:13" x14ac:dyDescent="0.2">
      <c r="A43" s="6"/>
      <c r="B43" s="9"/>
      <c r="C43" s="9"/>
      <c r="D43" s="9"/>
      <c r="E43" s="9"/>
      <c r="F43" s="9"/>
      <c r="G43" s="9"/>
      <c r="H43" s="9"/>
      <c r="I43" s="9"/>
      <c r="J43" s="9"/>
      <c r="K43" s="9"/>
      <c r="L43" s="9"/>
      <c r="M43" s="9"/>
    </row>
    <row r="44" spans="1:13" x14ac:dyDescent="0.2">
      <c r="A44" s="6"/>
      <c r="B44" s="9"/>
      <c r="C44" s="9"/>
      <c r="D44" s="9"/>
      <c r="E44" s="9"/>
      <c r="F44" s="9"/>
      <c r="G44" s="9"/>
      <c r="H44" s="9"/>
      <c r="I44" s="9"/>
      <c r="J44" s="9"/>
      <c r="K44" s="9"/>
      <c r="L44" s="9"/>
      <c r="M44" s="9"/>
    </row>
    <row r="45" spans="1:13" x14ac:dyDescent="0.2">
      <c r="A45" s="6"/>
      <c r="B45" s="9"/>
      <c r="C45" s="9"/>
      <c r="D45" s="9"/>
      <c r="E45" s="9"/>
      <c r="F45" s="9"/>
      <c r="G45" s="9"/>
      <c r="H45" s="9"/>
      <c r="I45" s="9"/>
      <c r="J45" s="9"/>
      <c r="K45" s="9"/>
      <c r="L45" s="9"/>
      <c r="M45" s="9"/>
    </row>
    <row r="46" spans="1:13" x14ac:dyDescent="0.2">
      <c r="A46" s="6"/>
      <c r="B46" s="9"/>
      <c r="C46" s="9"/>
      <c r="D46" s="9"/>
      <c r="E46" s="9"/>
      <c r="F46" s="9"/>
      <c r="G46" s="9"/>
      <c r="H46" s="9"/>
      <c r="I46" s="9"/>
      <c r="J46" s="9"/>
      <c r="K46" s="9"/>
      <c r="L46" s="9"/>
      <c r="M46" s="9"/>
    </row>
    <row r="47" spans="1:13" x14ac:dyDescent="0.2">
      <c r="A47" s="6"/>
      <c r="B47" s="9"/>
      <c r="C47" s="9"/>
      <c r="D47" s="9"/>
      <c r="E47" s="9"/>
      <c r="F47" s="9"/>
      <c r="G47" s="9"/>
      <c r="H47" s="9"/>
      <c r="I47" s="9"/>
      <c r="J47" s="9"/>
      <c r="K47" s="9"/>
      <c r="L47" s="9"/>
      <c r="M47" s="9"/>
    </row>
    <row r="48" spans="1:13" x14ac:dyDescent="0.2">
      <c r="A48" s="6"/>
      <c r="B48" s="9"/>
      <c r="C48" s="9"/>
      <c r="D48" s="9"/>
      <c r="E48" s="9"/>
      <c r="F48" s="9"/>
      <c r="G48" s="9"/>
      <c r="H48" s="9"/>
      <c r="I48" s="9"/>
      <c r="J48" s="9"/>
      <c r="K48" s="9"/>
      <c r="L48" s="9"/>
      <c r="M48" s="9"/>
    </row>
    <row r="49" spans="1:13" x14ac:dyDescent="0.2">
      <c r="A49" s="6"/>
      <c r="B49" s="9"/>
      <c r="C49" s="9"/>
      <c r="D49" s="9"/>
      <c r="E49" s="9"/>
      <c r="F49" s="9"/>
      <c r="G49" s="9"/>
      <c r="H49" s="9"/>
      <c r="I49" s="9"/>
      <c r="J49" s="9"/>
      <c r="K49" s="9"/>
      <c r="L49" s="9"/>
      <c r="M49" s="9"/>
    </row>
    <row r="50" spans="1:13" x14ac:dyDescent="0.2">
      <c r="A50" s="6"/>
      <c r="B50" s="9"/>
      <c r="C50" s="9"/>
      <c r="D50" s="9"/>
      <c r="E50" s="9"/>
      <c r="F50" s="9"/>
      <c r="G50" s="9"/>
      <c r="H50" s="9"/>
      <c r="I50" s="9"/>
      <c r="J50" s="9"/>
      <c r="K50" s="9"/>
      <c r="L50" s="9"/>
      <c r="M50" s="9"/>
    </row>
    <row r="51" spans="1:13" x14ac:dyDescent="0.2">
      <c r="A51" s="6"/>
      <c r="B51" s="9"/>
      <c r="C51" s="9"/>
      <c r="D51" s="9"/>
      <c r="E51" s="9"/>
      <c r="F51" s="9"/>
      <c r="G51" s="9"/>
      <c r="H51" s="9"/>
      <c r="I51" s="9"/>
      <c r="J51" s="9"/>
      <c r="K51" s="9"/>
      <c r="L51" s="9"/>
      <c r="M51" s="9"/>
    </row>
    <row r="52" spans="1:13" x14ac:dyDescent="0.2">
      <c r="A52" s="6"/>
      <c r="B52" s="9"/>
      <c r="C52" s="9"/>
      <c r="D52" s="9"/>
      <c r="E52" s="9"/>
      <c r="F52" s="9"/>
      <c r="G52" s="9"/>
      <c r="H52" s="9"/>
      <c r="I52" s="9"/>
      <c r="J52" s="9"/>
      <c r="K52" s="9"/>
      <c r="L52" s="9"/>
      <c r="M52" s="9"/>
    </row>
    <row r="53" spans="1:13" x14ac:dyDescent="0.2">
      <c r="A53" s="6"/>
      <c r="B53" s="9"/>
      <c r="C53" s="9"/>
      <c r="D53" s="9"/>
      <c r="E53" s="9"/>
      <c r="F53" s="9"/>
      <c r="G53" s="9"/>
      <c r="H53" s="9"/>
      <c r="I53" s="9"/>
      <c r="J53" s="9"/>
      <c r="K53" s="9"/>
      <c r="L53" s="9"/>
      <c r="M53" s="9"/>
    </row>
    <row r="54" spans="1:13" x14ac:dyDescent="0.2">
      <c r="A54" s="6"/>
      <c r="B54" s="9"/>
      <c r="C54" s="9"/>
      <c r="D54" s="9"/>
      <c r="E54" s="9"/>
      <c r="F54" s="9"/>
      <c r="G54" s="9"/>
      <c r="H54" s="9"/>
      <c r="I54" s="9"/>
      <c r="J54" s="9"/>
      <c r="K54" s="9"/>
      <c r="L54" s="9"/>
      <c r="M54" s="9"/>
    </row>
    <row r="56" spans="1:13" x14ac:dyDescent="0.2">
      <c r="A56" s="5"/>
    </row>
    <row r="57" spans="1:13" x14ac:dyDescent="0.2">
      <c r="A57" s="5"/>
    </row>
    <row r="58" spans="1:13" x14ac:dyDescent="0.2">
      <c r="A58" s="5"/>
    </row>
    <row r="61" spans="1:13" x14ac:dyDescent="0.2">
      <c r="A61" s="4"/>
    </row>
    <row r="62" spans="1:13" x14ac:dyDescent="0.2">
      <c r="A62" s="5"/>
    </row>
    <row r="64" spans="1:13" x14ac:dyDescent="0.2">
      <c r="A64" s="6"/>
      <c r="B64" s="6"/>
    </row>
    <row r="65" spans="1:13" x14ac:dyDescent="0.2">
      <c r="A65" s="6"/>
      <c r="B65" s="6"/>
    </row>
    <row r="66" spans="1:13" x14ac:dyDescent="0.2">
      <c r="A66" s="6"/>
      <c r="B66" s="6"/>
    </row>
    <row r="68" spans="1:13" x14ac:dyDescent="0.2">
      <c r="A68" s="7"/>
      <c r="B68" s="8"/>
      <c r="C68" s="8"/>
      <c r="D68" s="8"/>
      <c r="E68" s="8"/>
      <c r="F68" s="8"/>
      <c r="G68" s="8"/>
      <c r="H68" s="8"/>
      <c r="I68" s="8"/>
      <c r="J68" s="8"/>
      <c r="K68" s="8"/>
      <c r="L68" s="8"/>
      <c r="M68" s="8"/>
    </row>
    <row r="69" spans="1:13" x14ac:dyDescent="0.2">
      <c r="A69" s="6"/>
      <c r="B69" s="9"/>
      <c r="C69" s="9"/>
      <c r="D69" s="9"/>
      <c r="E69" s="9"/>
      <c r="F69" s="9"/>
      <c r="G69" s="9"/>
      <c r="H69" s="9"/>
      <c r="I69" s="9"/>
      <c r="J69" s="9"/>
      <c r="K69" s="9"/>
      <c r="L69" s="9"/>
      <c r="M69" s="9"/>
    </row>
    <row r="70" spans="1:13" x14ac:dyDescent="0.2">
      <c r="A70" s="6"/>
      <c r="B70" s="9"/>
      <c r="C70" s="9"/>
      <c r="D70" s="9"/>
      <c r="E70" s="9"/>
      <c r="F70" s="9"/>
      <c r="G70" s="9"/>
      <c r="H70" s="9"/>
      <c r="I70" s="9"/>
      <c r="J70" s="9"/>
      <c r="K70" s="9"/>
      <c r="L70" s="9"/>
      <c r="M70" s="9"/>
    </row>
    <row r="71" spans="1:13" x14ac:dyDescent="0.2">
      <c r="A71" s="6"/>
      <c r="B71" s="9"/>
      <c r="C71" s="9"/>
      <c r="D71" s="9"/>
      <c r="E71" s="9"/>
      <c r="F71" s="9"/>
      <c r="G71" s="9"/>
      <c r="H71" s="9"/>
      <c r="I71" s="9"/>
      <c r="J71" s="9"/>
      <c r="K71" s="9"/>
      <c r="L71" s="9"/>
      <c r="M71" s="9"/>
    </row>
    <row r="72" spans="1:13" x14ac:dyDescent="0.2">
      <c r="A72" s="6"/>
      <c r="B72" s="9"/>
      <c r="C72" s="9"/>
      <c r="D72" s="9"/>
      <c r="E72" s="9"/>
      <c r="F72" s="9"/>
      <c r="G72" s="9"/>
      <c r="H72" s="9"/>
      <c r="I72" s="9"/>
      <c r="J72" s="9"/>
      <c r="K72" s="9"/>
      <c r="L72" s="9"/>
      <c r="M72" s="9"/>
    </row>
    <row r="73" spans="1:13" x14ac:dyDescent="0.2">
      <c r="A73" s="6"/>
      <c r="B73" s="9"/>
      <c r="C73" s="9"/>
      <c r="D73" s="9"/>
      <c r="E73" s="9"/>
      <c r="F73" s="9"/>
      <c r="G73" s="9"/>
      <c r="H73" s="9"/>
      <c r="I73" s="9"/>
      <c r="J73" s="9"/>
      <c r="K73" s="9"/>
      <c r="L73" s="9"/>
      <c r="M73" s="9"/>
    </row>
    <row r="74" spans="1:13" x14ac:dyDescent="0.2">
      <c r="A74" s="6"/>
      <c r="B74" s="9"/>
      <c r="C74" s="9"/>
      <c r="D74" s="9"/>
      <c r="E74" s="9"/>
      <c r="F74" s="9"/>
      <c r="G74" s="9"/>
      <c r="H74" s="9"/>
      <c r="I74" s="9"/>
      <c r="J74" s="9"/>
      <c r="K74" s="9"/>
      <c r="L74" s="9"/>
      <c r="M74" s="9"/>
    </row>
    <row r="75" spans="1:13" x14ac:dyDescent="0.2">
      <c r="A75" s="6"/>
      <c r="B75" s="9"/>
      <c r="C75" s="9"/>
      <c r="D75" s="9"/>
      <c r="E75" s="9"/>
      <c r="F75" s="9"/>
      <c r="G75" s="9"/>
      <c r="H75" s="9"/>
      <c r="I75" s="9"/>
      <c r="J75" s="9"/>
      <c r="K75" s="9"/>
      <c r="L75" s="9"/>
      <c r="M75" s="9"/>
    </row>
    <row r="76" spans="1:13" x14ac:dyDescent="0.2">
      <c r="A76" s="6"/>
      <c r="B76" s="9"/>
      <c r="C76" s="9"/>
      <c r="D76" s="9"/>
      <c r="E76" s="9"/>
      <c r="F76" s="9"/>
      <c r="G76" s="9"/>
      <c r="H76" s="9"/>
      <c r="I76" s="9"/>
      <c r="J76" s="9"/>
      <c r="K76" s="9"/>
      <c r="L76" s="9"/>
      <c r="M76" s="9"/>
    </row>
    <row r="77" spans="1:13" x14ac:dyDescent="0.2">
      <c r="A77" s="6"/>
      <c r="B77" s="9"/>
      <c r="C77" s="9"/>
      <c r="D77" s="9"/>
      <c r="E77" s="9"/>
      <c r="F77" s="9"/>
      <c r="G77" s="9"/>
      <c r="H77" s="9"/>
      <c r="I77" s="9"/>
      <c r="J77" s="9"/>
      <c r="K77" s="9"/>
      <c r="L77" s="9"/>
      <c r="M77" s="9"/>
    </row>
    <row r="78" spans="1:13" x14ac:dyDescent="0.2">
      <c r="A78" s="6"/>
      <c r="B78" s="9"/>
      <c r="C78" s="9"/>
      <c r="D78" s="9"/>
      <c r="E78" s="9"/>
      <c r="F78" s="9"/>
      <c r="G78" s="9"/>
      <c r="H78" s="9"/>
      <c r="I78" s="9"/>
      <c r="J78" s="9"/>
      <c r="K78" s="9"/>
      <c r="L78" s="9"/>
      <c r="M78" s="9"/>
    </row>
    <row r="79" spans="1:13" x14ac:dyDescent="0.2">
      <c r="A79" s="6"/>
      <c r="B79" s="9"/>
      <c r="C79" s="9"/>
      <c r="D79" s="9"/>
      <c r="E79" s="9"/>
      <c r="F79" s="9"/>
      <c r="G79" s="9"/>
      <c r="H79" s="9"/>
      <c r="I79" s="9"/>
      <c r="J79" s="9"/>
      <c r="K79" s="9"/>
      <c r="L79" s="9"/>
      <c r="M79" s="9"/>
    </row>
    <row r="80" spans="1:13" x14ac:dyDescent="0.2">
      <c r="A80" s="6"/>
      <c r="B80" s="9"/>
      <c r="C80" s="9"/>
      <c r="D80" s="9"/>
      <c r="E80" s="9"/>
      <c r="F80" s="9"/>
      <c r="G80" s="9"/>
      <c r="H80" s="9"/>
      <c r="I80" s="9"/>
      <c r="J80" s="9"/>
      <c r="K80" s="9"/>
      <c r="L80" s="9"/>
      <c r="M80" s="9"/>
    </row>
    <row r="81" spans="1:13" x14ac:dyDescent="0.2">
      <c r="A81" s="6"/>
      <c r="B81" s="9"/>
      <c r="C81" s="9"/>
      <c r="D81" s="9"/>
      <c r="E81" s="9"/>
      <c r="F81" s="9"/>
      <c r="G81" s="9"/>
      <c r="H81" s="9"/>
      <c r="I81" s="9"/>
      <c r="J81" s="9"/>
      <c r="K81" s="9"/>
      <c r="L81" s="9"/>
      <c r="M81" s="9"/>
    </row>
    <row r="82" spans="1:13" x14ac:dyDescent="0.2">
      <c r="A82" s="6"/>
      <c r="B82" s="9"/>
      <c r="C82" s="9"/>
      <c r="D82" s="9"/>
      <c r="E82" s="9"/>
      <c r="F82" s="9"/>
      <c r="G82" s="9"/>
      <c r="H82" s="9"/>
      <c r="I82" s="9"/>
      <c r="J82" s="9"/>
      <c r="K82" s="9"/>
      <c r="L82" s="9"/>
      <c r="M82" s="9"/>
    </row>
    <row r="83" spans="1:13" x14ac:dyDescent="0.2">
      <c r="A83" s="6"/>
      <c r="B83" s="9"/>
      <c r="C83" s="9"/>
      <c r="D83" s="9"/>
      <c r="E83" s="9"/>
      <c r="F83" s="9"/>
      <c r="G83" s="9"/>
      <c r="H83" s="9"/>
      <c r="I83" s="9"/>
      <c r="J83" s="9"/>
      <c r="K83" s="9"/>
      <c r="L83" s="9"/>
      <c r="M83" s="9"/>
    </row>
    <row r="84" spans="1:13" x14ac:dyDescent="0.2">
      <c r="A84" s="6"/>
      <c r="B84" s="9"/>
      <c r="C84" s="9"/>
      <c r="D84" s="9"/>
      <c r="E84" s="9"/>
      <c r="F84" s="9"/>
      <c r="G84" s="9"/>
      <c r="H84" s="9"/>
      <c r="I84" s="9"/>
      <c r="J84" s="9"/>
      <c r="K84" s="9"/>
      <c r="L84" s="9"/>
      <c r="M84" s="9"/>
    </row>
    <row r="86" spans="1:13" x14ac:dyDescent="0.2">
      <c r="A86" s="5"/>
    </row>
    <row r="87" spans="1:13" x14ac:dyDescent="0.2">
      <c r="A87" s="5"/>
    </row>
    <row r="88" spans="1:13" x14ac:dyDescent="0.2">
      <c r="A88" s="5"/>
    </row>
    <row r="91" spans="1:13" x14ac:dyDescent="0.2">
      <c r="A91" s="4"/>
    </row>
    <row r="92" spans="1:13" x14ac:dyDescent="0.2">
      <c r="A92" s="5"/>
    </row>
    <row r="94" spans="1:13" x14ac:dyDescent="0.2">
      <c r="A94" s="6"/>
      <c r="B94" s="6"/>
    </row>
    <row r="95" spans="1:13" x14ac:dyDescent="0.2">
      <c r="A95" s="6"/>
      <c r="B95" s="6"/>
    </row>
    <row r="96" spans="1:13" x14ac:dyDescent="0.2">
      <c r="A96" s="6"/>
      <c r="B96" s="6"/>
    </row>
    <row r="98" spans="1:13" x14ac:dyDescent="0.2">
      <c r="A98" s="7"/>
      <c r="B98" s="8"/>
      <c r="C98" s="8"/>
      <c r="D98" s="8"/>
      <c r="E98" s="8"/>
      <c r="F98" s="8"/>
      <c r="G98" s="8"/>
      <c r="H98" s="8"/>
      <c r="I98" s="8"/>
      <c r="J98" s="8"/>
      <c r="K98" s="8"/>
      <c r="L98" s="8"/>
      <c r="M98" s="8"/>
    </row>
    <row r="99" spans="1:13" x14ac:dyDescent="0.2">
      <c r="A99" s="6"/>
      <c r="B99" s="9"/>
      <c r="C99" s="9"/>
      <c r="D99" s="9"/>
      <c r="E99" s="9"/>
      <c r="F99" s="9"/>
      <c r="G99" s="9"/>
      <c r="H99" s="9"/>
      <c r="I99" s="9"/>
      <c r="J99" s="9"/>
      <c r="K99" s="9"/>
      <c r="L99" s="9"/>
      <c r="M99" s="9"/>
    </row>
    <row r="100" spans="1:13" x14ac:dyDescent="0.2">
      <c r="A100" s="6"/>
      <c r="B100" s="9"/>
      <c r="C100" s="9"/>
      <c r="D100" s="9"/>
      <c r="E100" s="9"/>
      <c r="F100" s="9"/>
      <c r="G100" s="9"/>
      <c r="H100" s="9"/>
      <c r="I100" s="9"/>
      <c r="J100" s="9"/>
      <c r="K100" s="9"/>
      <c r="L100" s="9"/>
      <c r="M100" s="9"/>
    </row>
    <row r="101" spans="1:13" x14ac:dyDescent="0.2">
      <c r="A101" s="6"/>
      <c r="B101" s="9"/>
      <c r="C101" s="9"/>
      <c r="D101" s="9"/>
      <c r="E101" s="9"/>
      <c r="F101" s="9"/>
      <c r="G101" s="9"/>
      <c r="H101" s="9"/>
      <c r="I101" s="9"/>
      <c r="J101" s="9"/>
      <c r="K101" s="9"/>
      <c r="L101" s="9"/>
      <c r="M101" s="9"/>
    </row>
    <row r="102" spans="1:13" x14ac:dyDescent="0.2">
      <c r="A102" s="6"/>
      <c r="B102" s="9"/>
      <c r="C102" s="9"/>
      <c r="D102" s="9"/>
      <c r="E102" s="9"/>
      <c r="F102" s="9"/>
      <c r="G102" s="9"/>
      <c r="H102" s="9"/>
      <c r="I102" s="9"/>
      <c r="J102" s="9"/>
      <c r="K102" s="9"/>
      <c r="L102" s="9"/>
      <c r="M102" s="9"/>
    </row>
    <row r="103" spans="1:13" x14ac:dyDescent="0.2">
      <c r="A103" s="6"/>
      <c r="B103" s="9"/>
      <c r="C103" s="9"/>
      <c r="D103" s="9"/>
      <c r="E103" s="9"/>
      <c r="F103" s="9"/>
      <c r="G103" s="9"/>
      <c r="H103" s="9"/>
      <c r="I103" s="9"/>
      <c r="J103" s="9"/>
      <c r="K103" s="9"/>
      <c r="L103" s="9"/>
      <c r="M103" s="9"/>
    </row>
    <row r="104" spans="1:13" x14ac:dyDescent="0.2">
      <c r="A104" s="6"/>
      <c r="B104" s="9"/>
      <c r="C104" s="9"/>
      <c r="D104" s="9"/>
      <c r="E104" s="9"/>
      <c r="F104" s="9"/>
      <c r="G104" s="9"/>
      <c r="H104" s="9"/>
      <c r="I104" s="9"/>
      <c r="J104" s="9"/>
      <c r="K104" s="9"/>
      <c r="L104" s="9"/>
      <c r="M104" s="9"/>
    </row>
    <row r="105" spans="1:13" x14ac:dyDescent="0.2">
      <c r="A105" s="6"/>
      <c r="B105" s="9"/>
      <c r="C105" s="9"/>
      <c r="D105" s="9"/>
      <c r="E105" s="9"/>
      <c r="F105" s="9"/>
      <c r="G105" s="9"/>
      <c r="H105" s="9"/>
      <c r="I105" s="9"/>
      <c r="J105" s="9"/>
      <c r="K105" s="9"/>
      <c r="L105" s="9"/>
      <c r="M105" s="9"/>
    </row>
    <row r="106" spans="1:13" x14ac:dyDescent="0.2">
      <c r="A106" s="6"/>
      <c r="B106" s="9"/>
      <c r="C106" s="9"/>
      <c r="D106" s="9"/>
      <c r="E106" s="9"/>
      <c r="F106" s="9"/>
      <c r="G106" s="9"/>
      <c r="H106" s="9"/>
      <c r="I106" s="9"/>
      <c r="J106" s="9"/>
      <c r="K106" s="9"/>
      <c r="L106" s="9"/>
      <c r="M106" s="9"/>
    </row>
    <row r="107" spans="1:13" x14ac:dyDescent="0.2">
      <c r="A107" s="6"/>
      <c r="B107" s="9"/>
      <c r="C107" s="9"/>
      <c r="D107" s="9"/>
      <c r="E107" s="9"/>
      <c r="F107" s="9"/>
      <c r="G107" s="9"/>
      <c r="H107" s="9"/>
      <c r="I107" s="9"/>
      <c r="J107" s="9"/>
      <c r="K107" s="9"/>
      <c r="L107" s="9"/>
      <c r="M107" s="9"/>
    </row>
    <row r="108" spans="1:13" x14ac:dyDescent="0.2">
      <c r="A108" s="6"/>
      <c r="B108" s="9"/>
      <c r="C108" s="9"/>
      <c r="D108" s="9"/>
      <c r="E108" s="9"/>
      <c r="F108" s="9"/>
      <c r="G108" s="9"/>
      <c r="H108" s="9"/>
      <c r="I108" s="9"/>
      <c r="J108" s="9"/>
      <c r="K108" s="9"/>
      <c r="L108" s="9"/>
      <c r="M108" s="9"/>
    </row>
    <row r="109" spans="1:13" x14ac:dyDescent="0.2">
      <c r="A109" s="6"/>
      <c r="B109" s="9"/>
      <c r="C109" s="9"/>
      <c r="D109" s="9"/>
      <c r="E109" s="9"/>
      <c r="F109" s="9"/>
      <c r="G109" s="9"/>
      <c r="H109" s="9"/>
      <c r="I109" s="9"/>
      <c r="J109" s="9"/>
      <c r="K109" s="9"/>
      <c r="L109" s="9"/>
      <c r="M109" s="9"/>
    </row>
    <row r="110" spans="1:13" x14ac:dyDescent="0.2">
      <c r="A110" s="6"/>
      <c r="B110" s="9"/>
      <c r="C110" s="9"/>
      <c r="D110" s="9"/>
      <c r="E110" s="9"/>
      <c r="F110" s="9"/>
      <c r="G110" s="9"/>
      <c r="H110" s="9"/>
      <c r="I110" s="9"/>
      <c r="J110" s="9"/>
      <c r="K110" s="9"/>
      <c r="L110" s="9"/>
      <c r="M110" s="9"/>
    </row>
    <row r="111" spans="1:13" x14ac:dyDescent="0.2">
      <c r="A111" s="6"/>
      <c r="B111" s="9"/>
      <c r="C111" s="9"/>
      <c r="D111" s="9"/>
      <c r="E111" s="9"/>
      <c r="F111" s="9"/>
      <c r="G111" s="9"/>
      <c r="H111" s="9"/>
      <c r="I111" s="9"/>
      <c r="J111" s="9"/>
      <c r="K111" s="9"/>
      <c r="L111" s="9"/>
      <c r="M111" s="9"/>
    </row>
    <row r="112" spans="1:13" x14ac:dyDescent="0.2">
      <c r="A112" s="6"/>
      <c r="B112" s="9"/>
      <c r="C112" s="9"/>
      <c r="D112" s="9"/>
      <c r="E112" s="9"/>
      <c r="F112" s="9"/>
      <c r="G112" s="9"/>
      <c r="H112" s="9"/>
      <c r="I112" s="9"/>
      <c r="J112" s="9"/>
      <c r="K112" s="9"/>
      <c r="L112" s="9"/>
      <c r="M112" s="9"/>
    </row>
    <row r="113" spans="1:13" x14ac:dyDescent="0.2">
      <c r="A113" s="6"/>
      <c r="B113" s="9"/>
      <c r="C113" s="9"/>
      <c r="D113" s="9"/>
      <c r="E113" s="9"/>
      <c r="F113" s="9"/>
      <c r="G113" s="9"/>
      <c r="H113" s="9"/>
      <c r="I113" s="9"/>
      <c r="J113" s="9"/>
      <c r="K113" s="9"/>
      <c r="L113" s="9"/>
      <c r="M113" s="9"/>
    </row>
    <row r="114" spans="1:13" x14ac:dyDescent="0.2">
      <c r="A114" s="6"/>
      <c r="B114" s="9"/>
      <c r="C114" s="9"/>
      <c r="D114" s="9"/>
      <c r="E114" s="9"/>
      <c r="F114" s="9"/>
      <c r="G114" s="9"/>
      <c r="H114" s="9"/>
      <c r="I114" s="9"/>
      <c r="J114" s="9"/>
      <c r="K114" s="9"/>
      <c r="L114" s="9"/>
      <c r="M114" s="9"/>
    </row>
    <row r="116" spans="1:13" x14ac:dyDescent="0.2">
      <c r="A116" s="5"/>
    </row>
    <row r="117" spans="1:13" x14ac:dyDescent="0.2">
      <c r="A117" s="5"/>
    </row>
    <row r="118" spans="1:13" x14ac:dyDescent="0.2">
      <c r="A118" s="5"/>
    </row>
    <row r="121" spans="1:13" x14ac:dyDescent="0.2">
      <c r="A121" s="4"/>
    </row>
    <row r="122" spans="1:13" x14ac:dyDescent="0.2">
      <c r="A122" s="5"/>
    </row>
    <row r="124" spans="1:13" x14ac:dyDescent="0.2">
      <c r="A124" s="6"/>
      <c r="B124" s="6"/>
    </row>
    <row r="125" spans="1:13" x14ac:dyDescent="0.2">
      <c r="A125" s="6"/>
      <c r="B125" s="6"/>
    </row>
    <row r="126" spans="1:13" x14ac:dyDescent="0.2">
      <c r="A126" s="6"/>
      <c r="B126" s="6"/>
    </row>
    <row r="128" spans="1:13" x14ac:dyDescent="0.2">
      <c r="A128" s="7"/>
      <c r="B128" s="8"/>
      <c r="C128" s="8"/>
      <c r="D128" s="8"/>
      <c r="E128" s="8"/>
      <c r="F128" s="8"/>
      <c r="G128" s="8"/>
      <c r="H128" s="8"/>
      <c r="I128" s="8"/>
      <c r="J128" s="8"/>
      <c r="K128" s="8"/>
      <c r="L128" s="8"/>
      <c r="M128" s="8"/>
    </row>
    <row r="129" spans="1:13" x14ac:dyDescent="0.2">
      <c r="A129" s="6"/>
      <c r="B129" s="9"/>
      <c r="C129" s="9"/>
      <c r="D129" s="9"/>
      <c r="E129" s="9"/>
      <c r="F129" s="9"/>
      <c r="G129" s="9"/>
      <c r="H129" s="9"/>
      <c r="I129" s="9"/>
      <c r="J129" s="9"/>
      <c r="K129" s="9"/>
      <c r="L129" s="9"/>
      <c r="M129" s="9"/>
    </row>
    <row r="130" spans="1:13" x14ac:dyDescent="0.2">
      <c r="A130" s="6"/>
      <c r="B130" s="9"/>
      <c r="C130" s="9"/>
      <c r="D130" s="9"/>
      <c r="E130" s="9"/>
      <c r="F130" s="9"/>
      <c r="G130" s="9"/>
      <c r="H130" s="9"/>
      <c r="I130" s="9"/>
      <c r="J130" s="9"/>
      <c r="K130" s="9"/>
      <c r="L130" s="9"/>
      <c r="M130" s="9"/>
    </row>
    <row r="131" spans="1:13" x14ac:dyDescent="0.2">
      <c r="A131" s="6"/>
      <c r="B131" s="9"/>
      <c r="C131" s="9"/>
      <c r="D131" s="9"/>
      <c r="E131" s="9"/>
      <c r="F131" s="9"/>
      <c r="G131" s="9"/>
      <c r="H131" s="9"/>
      <c r="I131" s="9"/>
      <c r="J131" s="9"/>
      <c r="K131" s="9"/>
      <c r="L131" s="9"/>
      <c r="M131" s="9"/>
    </row>
    <row r="132" spans="1:13" x14ac:dyDescent="0.2">
      <c r="A132" s="6"/>
      <c r="B132" s="9"/>
      <c r="C132" s="9"/>
      <c r="D132" s="9"/>
      <c r="E132" s="9"/>
      <c r="F132" s="9"/>
      <c r="G132" s="9"/>
      <c r="H132" s="9"/>
      <c r="I132" s="9"/>
      <c r="J132" s="9"/>
      <c r="K132" s="9"/>
      <c r="L132" s="9"/>
      <c r="M132" s="9"/>
    </row>
    <row r="133" spans="1:13" x14ac:dyDescent="0.2">
      <c r="A133" s="6"/>
      <c r="B133" s="9"/>
      <c r="C133" s="9"/>
      <c r="D133" s="9"/>
      <c r="E133" s="9"/>
      <c r="F133" s="9"/>
      <c r="G133" s="9"/>
      <c r="H133" s="9"/>
      <c r="I133" s="9"/>
      <c r="J133" s="9"/>
      <c r="K133" s="9"/>
      <c r="L133" s="9"/>
      <c r="M133" s="9"/>
    </row>
    <row r="134" spans="1:13" x14ac:dyDescent="0.2">
      <c r="A134" s="6"/>
      <c r="B134" s="9"/>
      <c r="C134" s="9"/>
      <c r="D134" s="9"/>
      <c r="E134" s="9"/>
      <c r="F134" s="9"/>
      <c r="G134" s="9"/>
      <c r="H134" s="9"/>
      <c r="I134" s="9"/>
      <c r="J134" s="9"/>
      <c r="K134" s="9"/>
      <c r="L134" s="9"/>
      <c r="M134" s="9"/>
    </row>
    <row r="135" spans="1:13" x14ac:dyDescent="0.2">
      <c r="A135" s="6"/>
      <c r="B135" s="9"/>
      <c r="C135" s="9"/>
      <c r="D135" s="9"/>
      <c r="E135" s="9"/>
      <c r="F135" s="9"/>
      <c r="G135" s="9"/>
      <c r="H135" s="9"/>
      <c r="I135" s="9"/>
      <c r="J135" s="9"/>
      <c r="K135" s="9"/>
      <c r="L135" s="9"/>
      <c r="M135" s="9"/>
    </row>
    <row r="136" spans="1:13" x14ac:dyDescent="0.2">
      <c r="A136" s="6"/>
      <c r="B136" s="9"/>
      <c r="C136" s="9"/>
      <c r="D136" s="9"/>
      <c r="E136" s="9"/>
      <c r="F136" s="9"/>
      <c r="G136" s="9"/>
      <c r="H136" s="9"/>
      <c r="I136" s="9"/>
      <c r="J136" s="9"/>
      <c r="K136" s="9"/>
      <c r="L136" s="9"/>
      <c r="M136" s="9"/>
    </row>
    <row r="137" spans="1:13" x14ac:dyDescent="0.2">
      <c r="A137" s="6"/>
      <c r="B137" s="9"/>
      <c r="C137" s="9"/>
      <c r="D137" s="9"/>
      <c r="E137" s="9"/>
      <c r="F137" s="9"/>
      <c r="G137" s="9"/>
      <c r="H137" s="9"/>
      <c r="I137" s="9"/>
      <c r="J137" s="9"/>
      <c r="K137" s="9"/>
      <c r="L137" s="9"/>
      <c r="M137" s="9"/>
    </row>
    <row r="138" spans="1:13" x14ac:dyDescent="0.2">
      <c r="A138" s="6"/>
      <c r="B138" s="9"/>
      <c r="C138" s="9"/>
      <c r="D138" s="9"/>
      <c r="E138" s="9"/>
      <c r="F138" s="9"/>
      <c r="G138" s="9"/>
      <c r="H138" s="9"/>
      <c r="I138" s="9"/>
      <c r="J138" s="9"/>
      <c r="K138" s="9"/>
      <c r="L138" s="9"/>
      <c r="M138" s="9"/>
    </row>
    <row r="139" spans="1:13" x14ac:dyDescent="0.2">
      <c r="A139" s="6"/>
      <c r="B139" s="9"/>
      <c r="C139" s="9"/>
      <c r="D139" s="9"/>
      <c r="E139" s="9"/>
      <c r="F139" s="9"/>
      <c r="G139" s="9"/>
      <c r="H139" s="9"/>
      <c r="I139" s="9"/>
      <c r="J139" s="9"/>
      <c r="K139" s="9"/>
      <c r="L139" s="9"/>
      <c r="M139" s="9"/>
    </row>
    <row r="140" spans="1:13" x14ac:dyDescent="0.2">
      <c r="A140" s="6"/>
      <c r="B140" s="9"/>
      <c r="C140" s="9"/>
      <c r="D140" s="9"/>
      <c r="E140" s="9"/>
      <c r="F140" s="9"/>
      <c r="G140" s="9"/>
      <c r="H140" s="9"/>
      <c r="I140" s="9"/>
      <c r="J140" s="9"/>
      <c r="K140" s="9"/>
      <c r="L140" s="9"/>
      <c r="M140" s="9"/>
    </row>
    <row r="141" spans="1:13" x14ac:dyDescent="0.2">
      <c r="A141" s="6"/>
      <c r="B141" s="9"/>
      <c r="C141" s="9"/>
      <c r="D141" s="9"/>
      <c r="E141" s="9"/>
      <c r="F141" s="9"/>
      <c r="G141" s="9"/>
      <c r="H141" s="9"/>
      <c r="I141" s="9"/>
      <c r="J141" s="9"/>
      <c r="K141" s="9"/>
      <c r="L141" s="9"/>
      <c r="M141" s="9"/>
    </row>
    <row r="142" spans="1:13" x14ac:dyDescent="0.2">
      <c r="A142" s="6"/>
      <c r="B142" s="9"/>
      <c r="C142" s="9"/>
      <c r="D142" s="9"/>
      <c r="E142" s="9"/>
      <c r="F142" s="9"/>
      <c r="G142" s="9"/>
      <c r="H142" s="9"/>
      <c r="I142" s="9"/>
      <c r="J142" s="9"/>
      <c r="K142" s="9"/>
      <c r="L142" s="9"/>
      <c r="M142" s="9"/>
    </row>
    <row r="143" spans="1:13" x14ac:dyDescent="0.2">
      <c r="A143" s="6"/>
      <c r="B143" s="9"/>
      <c r="C143" s="9"/>
      <c r="D143" s="9"/>
      <c r="E143" s="9"/>
      <c r="F143" s="9"/>
      <c r="G143" s="9"/>
      <c r="H143" s="9"/>
      <c r="I143" s="9"/>
      <c r="J143" s="9"/>
      <c r="K143" s="9"/>
      <c r="L143" s="9"/>
      <c r="M143" s="9"/>
    </row>
    <row r="144" spans="1:13" x14ac:dyDescent="0.2">
      <c r="A144" s="6"/>
      <c r="B144" s="9"/>
      <c r="C144" s="9"/>
      <c r="D144" s="9"/>
      <c r="E144" s="9"/>
      <c r="F144" s="9"/>
      <c r="G144" s="9"/>
      <c r="H144" s="9"/>
      <c r="I144" s="9"/>
      <c r="J144" s="9"/>
      <c r="K144" s="9"/>
      <c r="L144" s="9"/>
      <c r="M144" s="9"/>
    </row>
    <row r="146" spans="1:13" x14ac:dyDescent="0.2">
      <c r="A146" s="5"/>
    </row>
    <row r="147" spans="1:13" x14ac:dyDescent="0.2">
      <c r="A147" s="5"/>
    </row>
    <row r="148" spans="1:13" x14ac:dyDescent="0.2">
      <c r="A148" s="5"/>
    </row>
    <row r="151" spans="1:13" x14ac:dyDescent="0.2">
      <c r="A151" s="4"/>
    </row>
    <row r="152" spans="1:13" x14ac:dyDescent="0.2">
      <c r="A152" s="5"/>
    </row>
    <row r="154" spans="1:13" x14ac:dyDescent="0.2">
      <c r="A154" s="6"/>
      <c r="B154" s="6"/>
    </row>
    <row r="155" spans="1:13" x14ac:dyDescent="0.2">
      <c r="A155" s="6"/>
      <c r="B155" s="6"/>
    </row>
    <row r="156" spans="1:13" x14ac:dyDescent="0.2">
      <c r="A156" s="6"/>
      <c r="B156" s="6"/>
    </row>
    <row r="158" spans="1:13" x14ac:dyDescent="0.2">
      <c r="A158" s="7"/>
      <c r="B158" s="8"/>
      <c r="C158" s="8"/>
      <c r="D158" s="8"/>
      <c r="E158" s="8"/>
      <c r="F158" s="8"/>
      <c r="G158" s="8"/>
      <c r="H158" s="8"/>
      <c r="I158" s="8"/>
      <c r="J158" s="8"/>
      <c r="K158" s="8"/>
      <c r="L158" s="8"/>
      <c r="M158" s="8"/>
    </row>
    <row r="159" spans="1:13" x14ac:dyDescent="0.2">
      <c r="A159" s="6"/>
      <c r="B159" s="9"/>
      <c r="C159" s="9"/>
      <c r="D159" s="9"/>
      <c r="E159" s="9"/>
      <c r="F159" s="9"/>
      <c r="G159" s="9"/>
      <c r="H159" s="9"/>
      <c r="I159" s="9"/>
      <c r="J159" s="9"/>
      <c r="K159" s="9"/>
      <c r="L159" s="9"/>
      <c r="M159" s="9"/>
    </row>
    <row r="160" spans="1:13" x14ac:dyDescent="0.2">
      <c r="A160" s="6"/>
      <c r="B160" s="9"/>
      <c r="C160" s="9"/>
      <c r="D160" s="9"/>
      <c r="E160" s="9"/>
      <c r="F160" s="9"/>
      <c r="G160" s="9"/>
      <c r="H160" s="9"/>
      <c r="I160" s="9"/>
      <c r="J160" s="9"/>
      <c r="K160" s="9"/>
      <c r="L160" s="9"/>
      <c r="M160" s="9"/>
    </row>
    <row r="161" spans="1:13" x14ac:dyDescent="0.2">
      <c r="A161" s="6"/>
      <c r="B161" s="9"/>
      <c r="C161" s="9"/>
      <c r="D161" s="9"/>
      <c r="E161" s="9"/>
      <c r="F161" s="9"/>
      <c r="G161" s="9"/>
      <c r="H161" s="9"/>
      <c r="I161" s="9"/>
      <c r="J161" s="9"/>
      <c r="K161" s="9"/>
      <c r="L161" s="9"/>
      <c r="M161" s="9"/>
    </row>
    <row r="162" spans="1:13" x14ac:dyDescent="0.2">
      <c r="A162" s="6"/>
      <c r="B162" s="9"/>
      <c r="C162" s="9"/>
      <c r="D162" s="9"/>
      <c r="E162" s="9"/>
      <c r="F162" s="9"/>
      <c r="G162" s="9"/>
      <c r="H162" s="9"/>
      <c r="I162" s="9"/>
      <c r="J162" s="9"/>
      <c r="K162" s="9"/>
      <c r="L162" s="9"/>
      <c r="M162" s="9"/>
    </row>
    <row r="163" spans="1:13" x14ac:dyDescent="0.2">
      <c r="A163" s="6"/>
      <c r="B163" s="9"/>
      <c r="C163" s="9"/>
      <c r="D163" s="9"/>
      <c r="E163" s="9"/>
      <c r="F163" s="9"/>
      <c r="G163" s="9"/>
      <c r="H163" s="9"/>
      <c r="I163" s="9"/>
      <c r="J163" s="9"/>
      <c r="K163" s="9"/>
      <c r="L163" s="9"/>
      <c r="M163" s="9"/>
    </row>
    <row r="164" spans="1:13" x14ac:dyDescent="0.2">
      <c r="A164" s="6"/>
      <c r="B164" s="9"/>
      <c r="C164" s="9"/>
      <c r="D164" s="9"/>
      <c r="E164" s="9"/>
      <c r="F164" s="9"/>
      <c r="G164" s="9"/>
      <c r="H164" s="9"/>
      <c r="I164" s="9"/>
      <c r="J164" s="9"/>
      <c r="K164" s="9"/>
      <c r="L164" s="9"/>
      <c r="M164" s="9"/>
    </row>
    <row r="165" spans="1:13" x14ac:dyDescent="0.2">
      <c r="A165" s="6"/>
      <c r="B165" s="9"/>
      <c r="C165" s="9"/>
      <c r="D165" s="9"/>
      <c r="E165" s="9"/>
      <c r="F165" s="9"/>
      <c r="G165" s="9"/>
      <c r="H165" s="9"/>
      <c r="I165" s="9"/>
      <c r="J165" s="9"/>
      <c r="K165" s="9"/>
      <c r="L165" s="9"/>
      <c r="M165" s="9"/>
    </row>
    <row r="166" spans="1:13" x14ac:dyDescent="0.2">
      <c r="A166" s="6"/>
      <c r="B166" s="9"/>
      <c r="C166" s="9"/>
      <c r="D166" s="9"/>
      <c r="E166" s="9"/>
      <c r="F166" s="9"/>
      <c r="G166" s="9"/>
      <c r="H166" s="9"/>
      <c r="I166" s="9"/>
      <c r="J166" s="9"/>
      <c r="K166" s="9"/>
      <c r="L166" s="9"/>
      <c r="M166" s="9"/>
    </row>
    <row r="167" spans="1:13" x14ac:dyDescent="0.2">
      <c r="A167" s="6"/>
      <c r="B167" s="9"/>
      <c r="C167" s="9"/>
      <c r="D167" s="9"/>
      <c r="E167" s="9"/>
      <c r="F167" s="9"/>
      <c r="G167" s="9"/>
      <c r="H167" s="9"/>
      <c r="I167" s="9"/>
      <c r="J167" s="9"/>
      <c r="K167" s="9"/>
      <c r="L167" s="9"/>
      <c r="M167" s="9"/>
    </row>
    <row r="168" spans="1:13" x14ac:dyDescent="0.2">
      <c r="A168" s="6"/>
      <c r="B168" s="9"/>
      <c r="C168" s="9"/>
      <c r="D168" s="9"/>
      <c r="E168" s="9"/>
      <c r="F168" s="9"/>
      <c r="G168" s="9"/>
      <c r="H168" s="9"/>
      <c r="I168" s="9"/>
      <c r="J168" s="9"/>
      <c r="K168" s="9"/>
      <c r="L168" s="9"/>
      <c r="M168" s="9"/>
    </row>
    <row r="169" spans="1:13" x14ac:dyDescent="0.2">
      <c r="A169" s="6"/>
      <c r="B169" s="9"/>
      <c r="C169" s="9"/>
      <c r="D169" s="9"/>
      <c r="E169" s="9"/>
      <c r="F169" s="9"/>
      <c r="G169" s="9"/>
      <c r="H169" s="9"/>
      <c r="I169" s="9"/>
      <c r="J169" s="9"/>
      <c r="K169" s="9"/>
      <c r="L169" s="9"/>
      <c r="M169" s="9"/>
    </row>
    <row r="170" spans="1:13" x14ac:dyDescent="0.2">
      <c r="A170" s="6"/>
      <c r="B170" s="9"/>
      <c r="C170" s="9"/>
      <c r="D170" s="9"/>
      <c r="E170" s="9"/>
      <c r="F170" s="9"/>
      <c r="G170" s="9"/>
      <c r="H170" s="9"/>
      <c r="I170" s="9"/>
      <c r="J170" s="9"/>
      <c r="K170" s="9"/>
      <c r="L170" s="9"/>
      <c r="M170" s="9"/>
    </row>
    <row r="171" spans="1:13" x14ac:dyDescent="0.2">
      <c r="A171" s="6"/>
      <c r="B171" s="9"/>
      <c r="C171" s="9"/>
      <c r="D171" s="9"/>
      <c r="E171" s="9"/>
      <c r="F171" s="9"/>
      <c r="G171" s="9"/>
      <c r="H171" s="9"/>
      <c r="I171" s="9"/>
      <c r="J171" s="9"/>
      <c r="K171" s="9"/>
      <c r="L171" s="9"/>
      <c r="M171" s="9"/>
    </row>
    <row r="172" spans="1:13" x14ac:dyDescent="0.2">
      <c r="A172" s="6"/>
      <c r="B172" s="9"/>
      <c r="C172" s="9"/>
      <c r="D172" s="9"/>
      <c r="E172" s="9"/>
      <c r="F172" s="9"/>
      <c r="G172" s="9"/>
      <c r="H172" s="9"/>
      <c r="I172" s="9"/>
      <c r="J172" s="9"/>
      <c r="K172" s="9"/>
      <c r="L172" s="9"/>
      <c r="M172" s="9"/>
    </row>
    <row r="173" spans="1:13" x14ac:dyDescent="0.2">
      <c r="A173" s="6"/>
      <c r="B173" s="9"/>
      <c r="C173" s="9"/>
      <c r="D173" s="9"/>
      <c r="E173" s="9"/>
      <c r="F173" s="9"/>
      <c r="G173" s="9"/>
      <c r="H173" s="9"/>
      <c r="I173" s="9"/>
      <c r="J173" s="9"/>
      <c r="K173" s="9"/>
      <c r="L173" s="9"/>
      <c r="M173" s="9"/>
    </row>
    <row r="174" spans="1:13" x14ac:dyDescent="0.2">
      <c r="A174" s="6"/>
      <c r="B174" s="9"/>
      <c r="C174" s="9"/>
      <c r="D174" s="9"/>
      <c r="E174" s="9"/>
      <c r="F174" s="9"/>
      <c r="G174" s="9"/>
      <c r="H174" s="9"/>
      <c r="I174" s="9"/>
      <c r="J174" s="9"/>
      <c r="K174" s="9"/>
      <c r="L174" s="9"/>
      <c r="M174" s="9"/>
    </row>
    <row r="176" spans="1:13" x14ac:dyDescent="0.2">
      <c r="A176" s="5"/>
    </row>
    <row r="177" spans="1:13" x14ac:dyDescent="0.2">
      <c r="A177" s="5"/>
    </row>
    <row r="178" spans="1:13" x14ac:dyDescent="0.2">
      <c r="A178" s="5"/>
    </row>
    <row r="181" spans="1:13" x14ac:dyDescent="0.2">
      <c r="A181" s="4"/>
    </row>
    <row r="182" spans="1:13" x14ac:dyDescent="0.2">
      <c r="A182" s="5"/>
    </row>
    <row r="184" spans="1:13" x14ac:dyDescent="0.2">
      <c r="A184" s="6"/>
      <c r="B184" s="6"/>
    </row>
    <row r="185" spans="1:13" x14ac:dyDescent="0.2">
      <c r="A185" s="6"/>
      <c r="B185" s="6"/>
    </row>
    <row r="186" spans="1:13" x14ac:dyDescent="0.2">
      <c r="A186" s="6"/>
      <c r="B186" s="6"/>
    </row>
    <row r="188" spans="1:13" x14ac:dyDescent="0.2">
      <c r="A188" s="7"/>
      <c r="B188" s="8"/>
      <c r="C188" s="8"/>
      <c r="D188" s="8"/>
      <c r="E188" s="8"/>
      <c r="F188" s="8"/>
      <c r="G188" s="8"/>
      <c r="H188" s="8"/>
      <c r="I188" s="8"/>
      <c r="J188" s="8"/>
      <c r="K188" s="8"/>
      <c r="L188" s="8"/>
      <c r="M188" s="8"/>
    </row>
    <row r="189" spans="1:13" x14ac:dyDescent="0.2">
      <c r="A189" s="6"/>
      <c r="B189" s="9"/>
      <c r="C189" s="9"/>
      <c r="D189" s="9"/>
      <c r="E189" s="9"/>
      <c r="F189" s="9"/>
      <c r="G189" s="9"/>
      <c r="H189" s="9"/>
      <c r="I189" s="9"/>
      <c r="J189" s="9"/>
      <c r="K189" s="9"/>
      <c r="L189" s="9"/>
      <c r="M189" s="9"/>
    </row>
    <row r="190" spans="1:13" x14ac:dyDescent="0.2">
      <c r="A190" s="6"/>
      <c r="B190" s="9"/>
      <c r="C190" s="9"/>
      <c r="D190" s="9"/>
      <c r="E190" s="9"/>
      <c r="F190" s="9"/>
      <c r="G190" s="9"/>
      <c r="H190" s="9"/>
      <c r="I190" s="9"/>
      <c r="J190" s="9"/>
      <c r="K190" s="9"/>
      <c r="L190" s="9"/>
      <c r="M190" s="9"/>
    </row>
    <row r="191" spans="1:13" x14ac:dyDescent="0.2">
      <c r="A191" s="6"/>
      <c r="B191" s="9"/>
      <c r="C191" s="9"/>
      <c r="D191" s="9"/>
      <c r="E191" s="9"/>
      <c r="F191" s="9"/>
      <c r="G191" s="9"/>
      <c r="H191" s="9"/>
      <c r="I191" s="9"/>
      <c r="J191" s="9"/>
      <c r="K191" s="9"/>
      <c r="L191" s="9"/>
      <c r="M191" s="9"/>
    </row>
    <row r="192" spans="1:13" x14ac:dyDescent="0.2">
      <c r="A192" s="6"/>
      <c r="B192" s="9"/>
      <c r="C192" s="9"/>
      <c r="D192" s="9"/>
      <c r="E192" s="9"/>
      <c r="F192" s="9"/>
      <c r="G192" s="9"/>
      <c r="H192" s="9"/>
      <c r="I192" s="9"/>
      <c r="J192" s="9"/>
      <c r="K192" s="9"/>
      <c r="L192" s="9"/>
      <c r="M192" s="9"/>
    </row>
    <row r="193" spans="1:13" x14ac:dyDescent="0.2">
      <c r="A193" s="6"/>
      <c r="B193" s="9"/>
      <c r="C193" s="9"/>
      <c r="D193" s="9"/>
      <c r="E193" s="9"/>
      <c r="F193" s="9"/>
      <c r="G193" s="9"/>
      <c r="H193" s="9"/>
      <c r="I193" s="9"/>
      <c r="J193" s="9"/>
      <c r="K193" s="9"/>
      <c r="L193" s="9"/>
      <c r="M193" s="9"/>
    </row>
    <row r="194" spans="1:13" x14ac:dyDescent="0.2">
      <c r="A194" s="6"/>
      <c r="B194" s="9"/>
      <c r="C194" s="9"/>
      <c r="D194" s="9"/>
      <c r="E194" s="9"/>
      <c r="F194" s="9"/>
      <c r="G194" s="9"/>
      <c r="H194" s="9"/>
      <c r="I194" s="9"/>
      <c r="J194" s="9"/>
      <c r="K194" s="9"/>
      <c r="L194" s="9"/>
      <c r="M194" s="9"/>
    </row>
    <row r="195" spans="1:13" x14ac:dyDescent="0.2">
      <c r="A195" s="6"/>
      <c r="B195" s="9"/>
      <c r="C195" s="9"/>
      <c r="D195" s="9"/>
      <c r="E195" s="9"/>
      <c r="F195" s="9"/>
      <c r="G195" s="9"/>
      <c r="H195" s="9"/>
      <c r="I195" s="9"/>
      <c r="J195" s="9"/>
      <c r="K195" s="9"/>
      <c r="L195" s="9"/>
      <c r="M195" s="9"/>
    </row>
    <row r="196" spans="1:13" x14ac:dyDescent="0.2">
      <c r="A196" s="6"/>
      <c r="B196" s="9"/>
      <c r="C196" s="9"/>
      <c r="D196" s="9"/>
      <c r="E196" s="9"/>
      <c r="F196" s="9"/>
      <c r="G196" s="9"/>
      <c r="H196" s="9"/>
      <c r="I196" s="9"/>
      <c r="J196" s="9"/>
      <c r="K196" s="9"/>
      <c r="L196" s="9"/>
      <c r="M196" s="9"/>
    </row>
    <row r="197" spans="1:13" x14ac:dyDescent="0.2">
      <c r="A197" s="6"/>
      <c r="B197" s="9"/>
      <c r="C197" s="9"/>
      <c r="D197" s="9"/>
      <c r="E197" s="9"/>
      <c r="F197" s="9"/>
      <c r="G197" s="9"/>
      <c r="H197" s="9"/>
      <c r="I197" s="9"/>
      <c r="J197" s="9"/>
      <c r="K197" s="9"/>
      <c r="L197" s="9"/>
      <c r="M197" s="9"/>
    </row>
    <row r="198" spans="1:13" x14ac:dyDescent="0.2">
      <c r="A198" s="6"/>
      <c r="B198" s="9"/>
      <c r="C198" s="9"/>
      <c r="D198" s="9"/>
      <c r="E198" s="9"/>
      <c r="F198" s="9"/>
      <c r="G198" s="9"/>
      <c r="H198" s="9"/>
      <c r="I198" s="9"/>
      <c r="J198" s="9"/>
      <c r="K198" s="9"/>
      <c r="L198" s="9"/>
      <c r="M198" s="9"/>
    </row>
    <row r="199" spans="1:13" x14ac:dyDescent="0.2">
      <c r="A199" s="6"/>
      <c r="B199" s="9"/>
      <c r="C199" s="9"/>
      <c r="D199" s="9"/>
      <c r="E199" s="9"/>
      <c r="F199" s="9"/>
      <c r="G199" s="9"/>
      <c r="H199" s="9"/>
      <c r="I199" s="9"/>
      <c r="J199" s="9"/>
      <c r="K199" s="9"/>
      <c r="L199" s="9"/>
      <c r="M199" s="9"/>
    </row>
    <row r="200" spans="1:13" x14ac:dyDescent="0.2">
      <c r="A200" s="6"/>
      <c r="B200" s="9"/>
      <c r="C200" s="9"/>
      <c r="D200" s="9"/>
      <c r="E200" s="9"/>
      <c r="F200" s="9"/>
      <c r="G200" s="9"/>
      <c r="H200" s="9"/>
      <c r="I200" s="9"/>
      <c r="J200" s="9"/>
      <c r="K200" s="9"/>
      <c r="L200" s="9"/>
      <c r="M200" s="9"/>
    </row>
    <row r="201" spans="1:13" x14ac:dyDescent="0.2">
      <c r="A201" s="6"/>
      <c r="B201" s="9"/>
      <c r="C201" s="9"/>
      <c r="D201" s="9"/>
      <c r="E201" s="9"/>
      <c r="F201" s="9"/>
      <c r="G201" s="9"/>
      <c r="H201" s="9"/>
      <c r="I201" s="9"/>
      <c r="J201" s="9"/>
      <c r="K201" s="9"/>
      <c r="L201" s="9"/>
      <c r="M201" s="9"/>
    </row>
    <row r="202" spans="1:13" x14ac:dyDescent="0.2">
      <c r="A202" s="6"/>
      <c r="B202" s="9"/>
      <c r="C202" s="9"/>
      <c r="D202" s="9"/>
      <c r="E202" s="9"/>
      <c r="F202" s="9"/>
      <c r="G202" s="9"/>
      <c r="H202" s="9"/>
      <c r="I202" s="9"/>
      <c r="J202" s="9"/>
      <c r="K202" s="9"/>
      <c r="L202" s="9"/>
      <c r="M202" s="9"/>
    </row>
    <row r="203" spans="1:13" x14ac:dyDescent="0.2">
      <c r="A203" s="6"/>
      <c r="B203" s="9"/>
      <c r="C203" s="9"/>
      <c r="D203" s="9"/>
      <c r="E203" s="9"/>
      <c r="F203" s="9"/>
      <c r="G203" s="9"/>
      <c r="H203" s="9"/>
      <c r="I203" s="9"/>
      <c r="J203" s="9"/>
      <c r="K203" s="9"/>
      <c r="L203" s="9"/>
      <c r="M203" s="9"/>
    </row>
    <row r="204" spans="1:13" x14ac:dyDescent="0.2">
      <c r="A204" s="6"/>
      <c r="B204" s="9"/>
      <c r="C204" s="9"/>
      <c r="D204" s="9"/>
      <c r="E204" s="9"/>
      <c r="F204" s="9"/>
      <c r="G204" s="9"/>
      <c r="H204" s="9"/>
      <c r="I204" s="9"/>
      <c r="J204" s="9"/>
      <c r="K204" s="9"/>
      <c r="L204" s="9"/>
      <c r="M204" s="9"/>
    </row>
    <row r="206" spans="1:13" x14ac:dyDescent="0.2">
      <c r="A206" s="5"/>
    </row>
    <row r="207" spans="1:13" x14ac:dyDescent="0.2">
      <c r="A207" s="5"/>
    </row>
    <row r="208" spans="1:13" x14ac:dyDescent="0.2">
      <c r="A208" s="5"/>
    </row>
    <row r="211" spans="1:13" x14ac:dyDescent="0.2">
      <c r="A211" s="4"/>
    </row>
    <row r="212" spans="1:13" x14ac:dyDescent="0.2">
      <c r="A212" s="5"/>
    </row>
    <row r="214" spans="1:13" x14ac:dyDescent="0.2">
      <c r="A214" s="6"/>
      <c r="B214" s="6"/>
    </row>
    <row r="215" spans="1:13" x14ac:dyDescent="0.2">
      <c r="A215" s="6"/>
      <c r="B215" s="6"/>
    </row>
    <row r="216" spans="1:13" x14ac:dyDescent="0.2">
      <c r="A216" s="6"/>
      <c r="B216" s="6"/>
    </row>
    <row r="218" spans="1:13" x14ac:dyDescent="0.2">
      <c r="A218" s="7"/>
      <c r="B218" s="8"/>
      <c r="C218" s="8"/>
      <c r="D218" s="8"/>
      <c r="E218" s="8"/>
      <c r="F218" s="8"/>
      <c r="G218" s="8"/>
      <c r="H218" s="8"/>
      <c r="I218" s="8"/>
      <c r="J218" s="8"/>
      <c r="K218" s="8"/>
      <c r="L218" s="8"/>
      <c r="M218" s="8"/>
    </row>
    <row r="219" spans="1:13" x14ac:dyDescent="0.2">
      <c r="A219" s="6"/>
      <c r="B219" s="9"/>
      <c r="C219" s="9"/>
      <c r="D219" s="9"/>
      <c r="E219" s="9"/>
      <c r="F219" s="9"/>
      <c r="G219" s="9"/>
      <c r="H219" s="9"/>
      <c r="I219" s="9"/>
      <c r="J219" s="9"/>
      <c r="K219" s="9"/>
      <c r="L219" s="9"/>
      <c r="M219" s="9"/>
    </row>
    <row r="220" spans="1:13" x14ac:dyDescent="0.2">
      <c r="A220" s="6"/>
      <c r="B220" s="9"/>
      <c r="C220" s="9"/>
      <c r="D220" s="9"/>
      <c r="E220" s="9"/>
      <c r="F220" s="9"/>
      <c r="G220" s="9"/>
      <c r="H220" s="9"/>
      <c r="I220" s="9"/>
      <c r="J220" s="9"/>
      <c r="K220" s="9"/>
      <c r="L220" s="9"/>
      <c r="M220" s="9"/>
    </row>
    <row r="221" spans="1:13" x14ac:dyDescent="0.2">
      <c r="A221" s="6"/>
      <c r="B221" s="9"/>
      <c r="C221" s="9"/>
      <c r="D221" s="9"/>
      <c r="E221" s="9"/>
      <c r="F221" s="9"/>
      <c r="G221" s="9"/>
      <c r="H221" s="9"/>
      <c r="I221" s="9"/>
      <c r="J221" s="9"/>
      <c r="K221" s="9"/>
      <c r="L221" s="9"/>
      <c r="M221" s="9"/>
    </row>
    <row r="222" spans="1:13" x14ac:dyDescent="0.2">
      <c r="A222" s="6"/>
      <c r="B222" s="9"/>
      <c r="C222" s="9"/>
      <c r="D222" s="9"/>
      <c r="E222" s="9"/>
      <c r="F222" s="9"/>
      <c r="G222" s="9"/>
      <c r="H222" s="9"/>
      <c r="I222" s="9"/>
      <c r="J222" s="9"/>
      <c r="K222" s="9"/>
      <c r="L222" s="9"/>
      <c r="M222" s="9"/>
    </row>
    <row r="223" spans="1:13" x14ac:dyDescent="0.2">
      <c r="A223" s="6"/>
      <c r="B223" s="9"/>
      <c r="C223" s="9"/>
      <c r="D223" s="9"/>
      <c r="E223" s="9"/>
      <c r="F223" s="9"/>
      <c r="G223" s="9"/>
      <c r="H223" s="9"/>
      <c r="I223" s="9"/>
      <c r="J223" s="9"/>
      <c r="K223" s="9"/>
      <c r="L223" s="9"/>
      <c r="M223" s="9"/>
    </row>
    <row r="224" spans="1:13" x14ac:dyDescent="0.2">
      <c r="A224" s="6"/>
      <c r="B224" s="9"/>
      <c r="C224" s="9"/>
      <c r="D224" s="9"/>
      <c r="E224" s="9"/>
      <c r="F224" s="9"/>
      <c r="G224" s="9"/>
      <c r="H224" s="9"/>
      <c r="I224" s="9"/>
      <c r="J224" s="9"/>
      <c r="K224" s="9"/>
      <c r="L224" s="9"/>
      <c r="M224" s="9"/>
    </row>
    <row r="225" spans="1:13" x14ac:dyDescent="0.2">
      <c r="A225" s="6"/>
      <c r="B225" s="9"/>
      <c r="C225" s="9"/>
      <c r="D225" s="9"/>
      <c r="E225" s="9"/>
      <c r="F225" s="9"/>
      <c r="G225" s="9"/>
      <c r="H225" s="9"/>
      <c r="I225" s="9"/>
      <c r="J225" s="9"/>
      <c r="K225" s="9"/>
      <c r="L225" s="9"/>
      <c r="M225" s="9"/>
    </row>
    <row r="226" spans="1:13" x14ac:dyDescent="0.2">
      <c r="A226" s="6"/>
      <c r="B226" s="9"/>
      <c r="C226" s="9"/>
      <c r="D226" s="9"/>
      <c r="E226" s="9"/>
      <c r="F226" s="9"/>
      <c r="G226" s="9"/>
      <c r="H226" s="9"/>
      <c r="I226" s="9"/>
      <c r="J226" s="9"/>
      <c r="K226" s="9"/>
      <c r="L226" s="9"/>
      <c r="M226" s="9"/>
    </row>
    <row r="227" spans="1:13" x14ac:dyDescent="0.2">
      <c r="A227" s="6"/>
      <c r="B227" s="9"/>
      <c r="C227" s="9"/>
      <c r="D227" s="9"/>
      <c r="E227" s="9"/>
      <c r="F227" s="9"/>
      <c r="G227" s="9"/>
      <c r="H227" s="9"/>
      <c r="I227" s="9"/>
      <c r="J227" s="9"/>
      <c r="K227" s="9"/>
      <c r="L227" s="9"/>
      <c r="M227" s="9"/>
    </row>
    <row r="228" spans="1:13" x14ac:dyDescent="0.2">
      <c r="A228" s="6"/>
      <c r="B228" s="9"/>
      <c r="C228" s="9"/>
      <c r="D228" s="9"/>
      <c r="E228" s="9"/>
      <c r="F228" s="9"/>
      <c r="G228" s="9"/>
      <c r="H228" s="9"/>
      <c r="I228" s="9"/>
      <c r="J228" s="9"/>
      <c r="K228" s="9"/>
      <c r="L228" s="9"/>
      <c r="M228" s="9"/>
    </row>
    <row r="229" spans="1:13" x14ac:dyDescent="0.2">
      <c r="A229" s="6"/>
      <c r="B229" s="9"/>
      <c r="C229" s="9"/>
      <c r="D229" s="9"/>
      <c r="E229" s="9"/>
      <c r="F229" s="9"/>
      <c r="G229" s="9"/>
      <c r="H229" s="9"/>
      <c r="I229" s="9"/>
      <c r="J229" s="9"/>
      <c r="K229" s="9"/>
      <c r="L229" s="9"/>
      <c r="M229" s="9"/>
    </row>
    <row r="230" spans="1:13" x14ac:dyDescent="0.2">
      <c r="A230" s="6"/>
      <c r="B230" s="9"/>
      <c r="C230" s="9"/>
      <c r="D230" s="9"/>
      <c r="E230" s="9"/>
      <c r="F230" s="9"/>
      <c r="G230" s="9"/>
      <c r="H230" s="9"/>
      <c r="I230" s="9"/>
      <c r="J230" s="9"/>
      <c r="K230" s="9"/>
      <c r="L230" s="9"/>
      <c r="M230" s="9"/>
    </row>
    <row r="231" spans="1:13" x14ac:dyDescent="0.2">
      <c r="A231" s="6"/>
      <c r="B231" s="9"/>
      <c r="C231" s="9"/>
      <c r="D231" s="9"/>
      <c r="E231" s="9"/>
      <c r="F231" s="9"/>
      <c r="G231" s="9"/>
      <c r="H231" s="9"/>
      <c r="I231" s="9"/>
      <c r="J231" s="9"/>
      <c r="K231" s="9"/>
      <c r="L231" s="9"/>
      <c r="M231" s="9"/>
    </row>
    <row r="232" spans="1:13" x14ac:dyDescent="0.2">
      <c r="A232" s="6"/>
      <c r="B232" s="9"/>
      <c r="C232" s="9"/>
      <c r="D232" s="9"/>
      <c r="E232" s="9"/>
      <c r="F232" s="9"/>
      <c r="G232" s="9"/>
      <c r="H232" s="9"/>
      <c r="I232" s="9"/>
      <c r="J232" s="9"/>
      <c r="K232" s="9"/>
      <c r="L232" s="9"/>
      <c r="M232" s="9"/>
    </row>
    <row r="233" spans="1:13" x14ac:dyDescent="0.2">
      <c r="A233" s="6"/>
      <c r="B233" s="9"/>
      <c r="C233" s="9"/>
      <c r="D233" s="9"/>
      <c r="E233" s="9"/>
      <c r="F233" s="9"/>
      <c r="G233" s="9"/>
      <c r="H233" s="9"/>
      <c r="I233" s="9"/>
      <c r="J233" s="9"/>
      <c r="K233" s="9"/>
      <c r="L233" s="9"/>
      <c r="M233" s="9"/>
    </row>
    <row r="234" spans="1:13" x14ac:dyDescent="0.2">
      <c r="A234" s="6"/>
      <c r="B234" s="9"/>
      <c r="C234" s="9"/>
      <c r="D234" s="9"/>
      <c r="E234" s="9"/>
      <c r="F234" s="9"/>
      <c r="G234" s="9"/>
      <c r="H234" s="9"/>
      <c r="I234" s="9"/>
      <c r="J234" s="9"/>
      <c r="K234" s="9"/>
      <c r="L234" s="9"/>
      <c r="M234" s="9"/>
    </row>
    <row r="236" spans="1:13" x14ac:dyDescent="0.2">
      <c r="A236" s="5"/>
    </row>
    <row r="237" spans="1:13" x14ac:dyDescent="0.2">
      <c r="A237" s="5"/>
    </row>
    <row r="238" spans="1:13" x14ac:dyDescent="0.2">
      <c r="A238" s="5"/>
    </row>
    <row r="241" spans="1:13" x14ac:dyDescent="0.2">
      <c r="A241" s="4"/>
    </row>
    <row r="242" spans="1:13" x14ac:dyDescent="0.2">
      <c r="A242" s="5"/>
    </row>
    <row r="244" spans="1:13" x14ac:dyDescent="0.2">
      <c r="A244" s="6"/>
      <c r="B244" s="6"/>
    </row>
    <row r="245" spans="1:13" x14ac:dyDescent="0.2">
      <c r="A245" s="6"/>
      <c r="B245" s="6"/>
    </row>
    <row r="246" spans="1:13" x14ac:dyDescent="0.2">
      <c r="A246" s="6"/>
      <c r="B246" s="6"/>
    </row>
    <row r="248" spans="1:13" x14ac:dyDescent="0.2">
      <c r="A248" s="7"/>
      <c r="B248" s="8"/>
      <c r="C248" s="8"/>
      <c r="D248" s="8"/>
      <c r="E248" s="8"/>
      <c r="F248" s="8"/>
      <c r="G248" s="8"/>
      <c r="H248" s="8"/>
      <c r="I248" s="8"/>
      <c r="J248" s="8"/>
      <c r="K248" s="8"/>
      <c r="L248" s="8"/>
      <c r="M248" s="8"/>
    </row>
    <row r="249" spans="1:13" x14ac:dyDescent="0.2">
      <c r="A249" s="6"/>
      <c r="B249" s="9"/>
      <c r="C249" s="9"/>
      <c r="D249" s="9"/>
      <c r="E249" s="9"/>
      <c r="F249" s="9"/>
      <c r="G249" s="9"/>
      <c r="H249" s="9"/>
      <c r="I249" s="9"/>
      <c r="J249" s="9"/>
      <c r="K249" s="9"/>
      <c r="L249" s="9"/>
      <c r="M249" s="9"/>
    </row>
    <row r="250" spans="1:13" x14ac:dyDescent="0.2">
      <c r="A250" s="6"/>
      <c r="B250" s="9"/>
      <c r="C250" s="9"/>
      <c r="D250" s="9"/>
      <c r="E250" s="9"/>
      <c r="F250" s="9"/>
      <c r="G250" s="9"/>
      <c r="H250" s="9"/>
      <c r="I250" s="9"/>
      <c r="J250" s="9"/>
      <c r="K250" s="9"/>
      <c r="L250" s="9"/>
      <c r="M250" s="9"/>
    </row>
    <row r="251" spans="1:13" x14ac:dyDescent="0.2">
      <c r="A251" s="6"/>
      <c r="B251" s="9"/>
      <c r="C251" s="9"/>
      <c r="D251" s="9"/>
      <c r="E251" s="9"/>
      <c r="F251" s="9"/>
      <c r="G251" s="9"/>
      <c r="H251" s="9"/>
      <c r="I251" s="9"/>
      <c r="J251" s="9"/>
      <c r="K251" s="9"/>
      <c r="L251" s="9"/>
      <c r="M251" s="9"/>
    </row>
    <row r="252" spans="1:13" x14ac:dyDescent="0.2">
      <c r="A252" s="6"/>
      <c r="B252" s="9"/>
      <c r="C252" s="9"/>
      <c r="D252" s="9"/>
      <c r="E252" s="9"/>
      <c r="F252" s="9"/>
      <c r="G252" s="9"/>
      <c r="H252" s="9"/>
      <c r="I252" s="9"/>
      <c r="J252" s="9"/>
      <c r="K252" s="9"/>
      <c r="L252" s="9"/>
      <c r="M252" s="9"/>
    </row>
    <row r="253" spans="1:13" x14ac:dyDescent="0.2">
      <c r="A253" s="6"/>
      <c r="B253" s="9"/>
      <c r="C253" s="9"/>
      <c r="D253" s="9"/>
      <c r="E253" s="9"/>
      <c r="F253" s="9"/>
      <c r="G253" s="9"/>
      <c r="H253" s="9"/>
      <c r="I253" s="9"/>
      <c r="J253" s="9"/>
      <c r="K253" s="9"/>
      <c r="L253" s="9"/>
      <c r="M253" s="9"/>
    </row>
    <row r="254" spans="1:13" x14ac:dyDescent="0.2">
      <c r="A254" s="6"/>
      <c r="B254" s="9"/>
      <c r="C254" s="9"/>
      <c r="D254" s="9"/>
      <c r="E254" s="9"/>
      <c r="F254" s="9"/>
      <c r="G254" s="9"/>
      <c r="H254" s="9"/>
      <c r="I254" s="9"/>
      <c r="J254" s="9"/>
      <c r="K254" s="9"/>
      <c r="L254" s="9"/>
      <c r="M254" s="9"/>
    </row>
    <row r="255" spans="1:13" x14ac:dyDescent="0.2">
      <c r="A255" s="6"/>
      <c r="B255" s="9"/>
      <c r="C255" s="9"/>
      <c r="D255" s="9"/>
      <c r="E255" s="9"/>
      <c r="F255" s="9"/>
      <c r="G255" s="9"/>
      <c r="H255" s="9"/>
      <c r="I255" s="9"/>
      <c r="J255" s="9"/>
      <c r="K255" s="9"/>
      <c r="L255" s="9"/>
      <c r="M255" s="9"/>
    </row>
    <row r="256" spans="1:13" x14ac:dyDescent="0.2">
      <c r="A256" s="6"/>
      <c r="B256" s="9"/>
      <c r="C256" s="9"/>
      <c r="D256" s="9"/>
      <c r="E256" s="9"/>
      <c r="F256" s="9"/>
      <c r="G256" s="9"/>
      <c r="H256" s="9"/>
      <c r="I256" s="9"/>
      <c r="J256" s="9"/>
      <c r="K256" s="9"/>
      <c r="L256" s="9"/>
      <c r="M256" s="9"/>
    </row>
    <row r="257" spans="1:13" x14ac:dyDescent="0.2">
      <c r="A257" s="6"/>
      <c r="B257" s="9"/>
      <c r="C257" s="9"/>
      <c r="D257" s="9"/>
      <c r="E257" s="9"/>
      <c r="F257" s="9"/>
      <c r="G257" s="9"/>
      <c r="H257" s="9"/>
      <c r="I257" s="9"/>
      <c r="J257" s="9"/>
      <c r="K257" s="9"/>
      <c r="L257" s="9"/>
      <c r="M257" s="9"/>
    </row>
    <row r="258" spans="1:13" x14ac:dyDescent="0.2">
      <c r="A258" s="6"/>
      <c r="B258" s="9"/>
      <c r="C258" s="9"/>
      <c r="D258" s="9"/>
      <c r="E258" s="9"/>
      <c r="F258" s="9"/>
      <c r="G258" s="9"/>
      <c r="H258" s="9"/>
      <c r="I258" s="9"/>
      <c r="J258" s="9"/>
      <c r="K258" s="9"/>
      <c r="L258" s="9"/>
      <c r="M258" s="9"/>
    </row>
    <row r="259" spans="1:13" x14ac:dyDescent="0.2">
      <c r="A259" s="6"/>
      <c r="B259" s="9"/>
      <c r="C259" s="9"/>
      <c r="D259" s="9"/>
      <c r="E259" s="9"/>
      <c r="F259" s="9"/>
      <c r="G259" s="9"/>
      <c r="H259" s="9"/>
      <c r="I259" s="9"/>
      <c r="J259" s="9"/>
      <c r="K259" s="9"/>
      <c r="L259" s="9"/>
      <c r="M259" s="9"/>
    </row>
    <row r="260" spans="1:13" x14ac:dyDescent="0.2">
      <c r="A260" s="6"/>
      <c r="B260" s="9"/>
      <c r="C260" s="9"/>
      <c r="D260" s="9"/>
      <c r="E260" s="9"/>
      <c r="F260" s="9"/>
      <c r="G260" s="9"/>
      <c r="H260" s="9"/>
      <c r="I260" s="9"/>
      <c r="J260" s="9"/>
      <c r="K260" s="9"/>
      <c r="L260" s="9"/>
      <c r="M260" s="9"/>
    </row>
    <row r="261" spans="1:13" x14ac:dyDescent="0.2">
      <c r="A261" s="6"/>
      <c r="B261" s="9"/>
      <c r="C261" s="9"/>
      <c r="D261" s="9"/>
      <c r="E261" s="9"/>
      <c r="F261" s="9"/>
      <c r="G261" s="9"/>
      <c r="H261" s="9"/>
      <c r="I261" s="9"/>
      <c r="J261" s="9"/>
      <c r="K261" s="9"/>
      <c r="L261" s="9"/>
      <c r="M261" s="9"/>
    </row>
    <row r="262" spans="1:13" x14ac:dyDescent="0.2">
      <c r="A262" s="6"/>
      <c r="B262" s="9"/>
      <c r="C262" s="9"/>
      <c r="D262" s="9"/>
      <c r="E262" s="9"/>
      <c r="F262" s="9"/>
      <c r="G262" s="9"/>
      <c r="H262" s="9"/>
      <c r="I262" s="9"/>
      <c r="J262" s="9"/>
      <c r="K262" s="9"/>
      <c r="L262" s="9"/>
      <c r="M262" s="9"/>
    </row>
    <row r="263" spans="1:13" x14ac:dyDescent="0.2">
      <c r="A263" s="6"/>
      <c r="B263" s="9"/>
      <c r="C263" s="9"/>
      <c r="D263" s="9"/>
      <c r="E263" s="9"/>
      <c r="F263" s="9"/>
      <c r="G263" s="9"/>
      <c r="H263" s="9"/>
      <c r="I263" s="9"/>
      <c r="J263" s="9"/>
      <c r="K263" s="9"/>
      <c r="L263" s="9"/>
      <c r="M263" s="9"/>
    </row>
    <row r="264" spans="1:13" x14ac:dyDescent="0.2">
      <c r="A264" s="6"/>
      <c r="B264" s="9"/>
      <c r="C264" s="9"/>
      <c r="D264" s="9"/>
      <c r="E264" s="9"/>
      <c r="F264" s="9"/>
      <c r="G264" s="9"/>
      <c r="H264" s="9"/>
      <c r="I264" s="9"/>
      <c r="J264" s="9"/>
      <c r="K264" s="9"/>
      <c r="L264" s="9"/>
      <c r="M264" s="9"/>
    </row>
    <row r="266" spans="1:13" x14ac:dyDescent="0.2">
      <c r="A266" s="5"/>
    </row>
    <row r="267" spans="1:13" x14ac:dyDescent="0.2">
      <c r="A267" s="5"/>
    </row>
    <row r="268" spans="1:13" x14ac:dyDescent="0.2">
      <c r="A268" s="5"/>
    </row>
    <row r="271" spans="1:13" x14ac:dyDescent="0.2">
      <c r="A271" s="4"/>
    </row>
    <row r="272" spans="1:13" x14ac:dyDescent="0.2">
      <c r="A272" s="5"/>
    </row>
    <row r="274" spans="1:13" x14ac:dyDescent="0.2">
      <c r="A274" s="6"/>
      <c r="B274" s="6"/>
    </row>
    <row r="275" spans="1:13" x14ac:dyDescent="0.2">
      <c r="A275" s="6"/>
      <c r="B275" s="6"/>
    </row>
    <row r="276" spans="1:13" x14ac:dyDescent="0.2">
      <c r="A276" s="6"/>
      <c r="B276" s="6"/>
    </row>
    <row r="278" spans="1:13" x14ac:dyDescent="0.2">
      <c r="A278" s="7"/>
      <c r="B278" s="8"/>
      <c r="C278" s="8"/>
      <c r="D278" s="8"/>
      <c r="E278" s="8"/>
      <c r="F278" s="8"/>
      <c r="G278" s="8"/>
      <c r="H278" s="8"/>
      <c r="I278" s="8"/>
      <c r="J278" s="8"/>
      <c r="K278" s="8"/>
      <c r="L278" s="8"/>
      <c r="M278" s="8"/>
    </row>
    <row r="279" spans="1:13" x14ac:dyDescent="0.2">
      <c r="A279" s="6"/>
      <c r="B279" s="9"/>
      <c r="C279" s="9"/>
      <c r="D279" s="9"/>
      <c r="E279" s="9"/>
      <c r="F279" s="9"/>
      <c r="G279" s="9"/>
      <c r="H279" s="9"/>
      <c r="I279" s="9"/>
      <c r="J279" s="9"/>
      <c r="K279" s="9"/>
      <c r="L279" s="9"/>
      <c r="M279" s="9"/>
    </row>
    <row r="280" spans="1:13" x14ac:dyDescent="0.2">
      <c r="A280" s="6"/>
      <c r="B280" s="9"/>
      <c r="C280" s="9"/>
      <c r="D280" s="9"/>
      <c r="E280" s="9"/>
      <c r="F280" s="9"/>
      <c r="G280" s="9"/>
      <c r="H280" s="9"/>
      <c r="I280" s="9"/>
      <c r="J280" s="9"/>
      <c r="K280" s="9"/>
      <c r="L280" s="9"/>
      <c r="M280" s="9"/>
    </row>
    <row r="281" spans="1:13" x14ac:dyDescent="0.2">
      <c r="A281" s="6"/>
      <c r="B281" s="9"/>
      <c r="C281" s="9"/>
      <c r="D281" s="9"/>
      <c r="E281" s="9"/>
      <c r="F281" s="9"/>
      <c r="G281" s="9"/>
      <c r="H281" s="9"/>
      <c r="I281" s="9"/>
      <c r="J281" s="9"/>
      <c r="K281" s="9"/>
      <c r="L281" s="9"/>
      <c r="M281" s="9"/>
    </row>
    <row r="282" spans="1:13" x14ac:dyDescent="0.2">
      <c r="A282" s="6"/>
      <c r="B282" s="9"/>
      <c r="C282" s="9"/>
      <c r="D282" s="9"/>
      <c r="E282" s="9"/>
      <c r="F282" s="9"/>
      <c r="G282" s="9"/>
      <c r="H282" s="9"/>
      <c r="I282" s="9"/>
      <c r="J282" s="9"/>
      <c r="K282" s="9"/>
      <c r="L282" s="9"/>
      <c r="M282" s="9"/>
    </row>
    <row r="283" spans="1:13" x14ac:dyDescent="0.2">
      <c r="A283" s="6"/>
      <c r="B283" s="9"/>
      <c r="C283" s="9"/>
      <c r="D283" s="9"/>
      <c r="E283" s="9"/>
      <c r="F283" s="9"/>
      <c r="G283" s="9"/>
      <c r="H283" s="9"/>
      <c r="I283" s="9"/>
      <c r="J283" s="9"/>
      <c r="K283" s="9"/>
      <c r="L283" s="9"/>
      <c r="M283" s="9"/>
    </row>
    <row r="284" spans="1:13" x14ac:dyDescent="0.2">
      <c r="A284" s="6"/>
      <c r="B284" s="9"/>
      <c r="C284" s="9"/>
      <c r="D284" s="9"/>
      <c r="E284" s="9"/>
      <c r="F284" s="9"/>
      <c r="G284" s="9"/>
      <c r="H284" s="9"/>
      <c r="I284" s="9"/>
      <c r="J284" s="9"/>
      <c r="K284" s="9"/>
      <c r="L284" s="9"/>
      <c r="M284" s="9"/>
    </row>
    <row r="285" spans="1:13" x14ac:dyDescent="0.2">
      <c r="A285" s="6"/>
      <c r="B285" s="9"/>
      <c r="C285" s="9"/>
      <c r="D285" s="9"/>
      <c r="E285" s="9"/>
      <c r="F285" s="9"/>
      <c r="G285" s="9"/>
      <c r="H285" s="9"/>
      <c r="I285" s="9"/>
      <c r="J285" s="9"/>
      <c r="K285" s="9"/>
      <c r="L285" s="9"/>
      <c r="M285" s="9"/>
    </row>
    <row r="286" spans="1:13" x14ac:dyDescent="0.2">
      <c r="A286" s="6"/>
      <c r="B286" s="9"/>
      <c r="C286" s="9"/>
      <c r="D286" s="9"/>
      <c r="E286" s="9"/>
      <c r="F286" s="9"/>
      <c r="G286" s="9"/>
      <c r="H286" s="9"/>
      <c r="I286" s="9"/>
      <c r="J286" s="9"/>
      <c r="K286" s="9"/>
      <c r="L286" s="9"/>
      <c r="M286" s="9"/>
    </row>
    <row r="287" spans="1:13" x14ac:dyDescent="0.2">
      <c r="A287" s="6"/>
      <c r="B287" s="9"/>
      <c r="C287" s="9"/>
      <c r="D287" s="9"/>
      <c r="E287" s="9"/>
      <c r="F287" s="9"/>
      <c r="G287" s="9"/>
      <c r="H287" s="9"/>
      <c r="I287" s="9"/>
      <c r="J287" s="9"/>
      <c r="K287" s="9"/>
      <c r="L287" s="9"/>
      <c r="M287" s="9"/>
    </row>
    <row r="288" spans="1:13" x14ac:dyDescent="0.2">
      <c r="A288" s="6"/>
      <c r="B288" s="9"/>
      <c r="C288" s="9"/>
      <c r="D288" s="9"/>
      <c r="E288" s="9"/>
      <c r="F288" s="9"/>
      <c r="G288" s="9"/>
      <c r="H288" s="9"/>
      <c r="I288" s="9"/>
      <c r="J288" s="9"/>
      <c r="K288" s="9"/>
      <c r="L288" s="9"/>
      <c r="M288" s="9"/>
    </row>
    <row r="289" spans="1:13" x14ac:dyDescent="0.2">
      <c r="A289" s="6"/>
      <c r="B289" s="9"/>
      <c r="C289" s="9"/>
      <c r="D289" s="9"/>
      <c r="E289" s="9"/>
      <c r="F289" s="9"/>
      <c r="G289" s="9"/>
      <c r="H289" s="9"/>
      <c r="I289" s="9"/>
      <c r="J289" s="9"/>
      <c r="K289" s="9"/>
      <c r="L289" s="9"/>
      <c r="M289" s="9"/>
    </row>
    <row r="290" spans="1:13" x14ac:dyDescent="0.2">
      <c r="A290" s="6"/>
      <c r="B290" s="9"/>
      <c r="C290" s="9"/>
      <c r="D290" s="9"/>
      <c r="E290" s="9"/>
      <c r="F290" s="9"/>
      <c r="G290" s="9"/>
      <c r="H290" s="9"/>
      <c r="I290" s="9"/>
      <c r="J290" s="9"/>
      <c r="K290" s="9"/>
      <c r="L290" s="9"/>
      <c r="M290" s="9"/>
    </row>
    <row r="291" spans="1:13" x14ac:dyDescent="0.2">
      <c r="A291" s="6"/>
      <c r="B291" s="9"/>
      <c r="C291" s="9"/>
      <c r="D291" s="9"/>
      <c r="E291" s="9"/>
      <c r="F291" s="9"/>
      <c r="G291" s="9"/>
      <c r="H291" s="9"/>
      <c r="I291" s="9"/>
      <c r="J291" s="9"/>
      <c r="K291" s="9"/>
      <c r="L291" s="9"/>
      <c r="M291" s="9"/>
    </row>
    <row r="292" spans="1:13" x14ac:dyDescent="0.2">
      <c r="A292" s="6"/>
      <c r="B292" s="9"/>
      <c r="C292" s="9"/>
      <c r="D292" s="9"/>
      <c r="E292" s="9"/>
      <c r="F292" s="9"/>
      <c r="G292" s="9"/>
      <c r="H292" s="9"/>
      <c r="I292" s="9"/>
      <c r="J292" s="9"/>
      <c r="K292" s="9"/>
      <c r="L292" s="9"/>
      <c r="M292" s="9"/>
    </row>
    <row r="293" spans="1:13" x14ac:dyDescent="0.2">
      <c r="A293" s="6"/>
      <c r="B293" s="9"/>
      <c r="C293" s="9"/>
      <c r="D293" s="9"/>
      <c r="E293" s="9"/>
      <c r="F293" s="9"/>
      <c r="G293" s="9"/>
      <c r="H293" s="9"/>
      <c r="I293" s="9"/>
      <c r="J293" s="9"/>
      <c r="K293" s="9"/>
      <c r="L293" s="9"/>
      <c r="M293" s="9"/>
    </row>
    <row r="294" spans="1:13" x14ac:dyDescent="0.2">
      <c r="A294" s="6"/>
      <c r="B294" s="9"/>
      <c r="C294" s="9"/>
      <c r="D294" s="9"/>
      <c r="E294" s="9"/>
      <c r="F294" s="9"/>
      <c r="G294" s="9"/>
      <c r="H294" s="9"/>
      <c r="I294" s="9"/>
      <c r="J294" s="9"/>
      <c r="K294" s="9"/>
      <c r="L294" s="9"/>
      <c r="M294" s="9"/>
    </row>
    <row r="296" spans="1:13" x14ac:dyDescent="0.2">
      <c r="A296" s="5"/>
    </row>
    <row r="297" spans="1:13" x14ac:dyDescent="0.2">
      <c r="A297" s="5"/>
    </row>
    <row r="298" spans="1:13" x14ac:dyDescent="0.2">
      <c r="A298" s="5"/>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Y24"/>
  <sheetViews>
    <sheetView tabSelected="1" zoomScale="140" workbookViewId="0">
      <selection activeCell="X29" sqref="X29"/>
    </sheetView>
  </sheetViews>
  <sheetFormatPr baseColWidth="10" defaultRowHeight="16" x14ac:dyDescent="0.2"/>
  <cols>
    <col min="4" max="4" width="25.6640625" bestFit="1" customWidth="1"/>
    <col min="5" max="5" width="10.33203125" bestFit="1" customWidth="1"/>
    <col min="6" max="6" width="14.6640625" bestFit="1" customWidth="1"/>
    <col min="7" max="7" width="15.83203125" bestFit="1" customWidth="1"/>
    <col min="8" max="9" width="16.83203125" bestFit="1" customWidth="1"/>
    <col min="14" max="14" width="29.1640625" bestFit="1" customWidth="1"/>
    <col min="16" max="16" width="21.83203125" bestFit="1" customWidth="1"/>
    <col min="22" max="22" width="22" bestFit="1" customWidth="1"/>
    <col min="23" max="23" width="29.6640625" bestFit="1" customWidth="1"/>
    <col min="24" max="24" width="36.1640625" bestFit="1" customWidth="1"/>
  </cols>
  <sheetData>
    <row r="1" spans="1:25" x14ac:dyDescent="0.2">
      <c r="A1" t="s">
        <v>0</v>
      </c>
      <c r="B1" t="s">
        <v>1</v>
      </c>
      <c r="C1" t="s">
        <v>2</v>
      </c>
      <c r="D1" t="s">
        <v>64</v>
      </c>
      <c r="E1" t="s">
        <v>65</v>
      </c>
      <c r="F1" t="s">
        <v>66</v>
      </c>
      <c r="G1" t="s">
        <v>67</v>
      </c>
      <c r="H1" t="s">
        <v>68</v>
      </c>
      <c r="I1" t="s">
        <v>69</v>
      </c>
      <c r="J1" s="11" t="s">
        <v>70</v>
      </c>
      <c r="K1" s="11" t="s">
        <v>71</v>
      </c>
      <c r="L1" t="s">
        <v>72</v>
      </c>
      <c r="M1" t="s">
        <v>73</v>
      </c>
      <c r="N1" t="s">
        <v>74</v>
      </c>
      <c r="O1" t="s">
        <v>75</v>
      </c>
      <c r="P1" t="s">
        <v>76</v>
      </c>
      <c r="Q1" t="s">
        <v>77</v>
      </c>
      <c r="R1" t="s">
        <v>78</v>
      </c>
      <c r="S1" t="s">
        <v>79</v>
      </c>
      <c r="T1" s="11" t="s">
        <v>80</v>
      </c>
      <c r="U1" s="11" t="s">
        <v>81</v>
      </c>
      <c r="V1" t="s">
        <v>82</v>
      </c>
      <c r="W1" t="s">
        <v>83</v>
      </c>
      <c r="X1" t="s">
        <v>84</v>
      </c>
      <c r="Y1" t="s">
        <v>106</v>
      </c>
    </row>
    <row r="2" spans="1:25" x14ac:dyDescent="0.2">
      <c r="A2">
        <v>2021</v>
      </c>
      <c r="B2" t="s">
        <v>3</v>
      </c>
      <c r="C2" t="s">
        <v>4</v>
      </c>
      <c r="D2" s="9">
        <v>89812</v>
      </c>
      <c r="E2" s="9">
        <v>11461</v>
      </c>
      <c r="F2" s="9">
        <v>9827</v>
      </c>
      <c r="G2" s="9">
        <v>6889</v>
      </c>
      <c r="H2" s="9">
        <v>10850</v>
      </c>
      <c r="I2" s="9">
        <v>2385</v>
      </c>
      <c r="J2" s="9">
        <v>480</v>
      </c>
      <c r="K2" s="9">
        <v>600</v>
      </c>
      <c r="L2" s="9">
        <v>1154</v>
      </c>
      <c r="M2" s="9">
        <v>34611</v>
      </c>
      <c r="N2" s="9">
        <v>11555</v>
      </c>
      <c r="O2">
        <f>100*E2/D2</f>
        <v>12.761100966463278</v>
      </c>
      <c r="P2">
        <f>100*F2/D2</f>
        <v>10.941744978399322</v>
      </c>
      <c r="Q2">
        <f>100*G2/D2</f>
        <v>7.6704671981472412</v>
      </c>
      <c r="R2">
        <f>100*H2/D2</f>
        <v>12.080790985614394</v>
      </c>
      <c r="S2">
        <f>100*I2/D2</f>
        <v>2.655547142920768</v>
      </c>
      <c r="T2">
        <f>100*J2/D2</f>
        <v>0.53444973945575203</v>
      </c>
      <c r="U2">
        <f>100*K2/D2</f>
        <v>0.66806217431969006</v>
      </c>
      <c r="V2">
        <f>100*L2/D2</f>
        <v>1.2849062486082039</v>
      </c>
      <c r="W2">
        <f>100*M2/D2</f>
        <v>38.537166525631321</v>
      </c>
      <c r="X2">
        <f>100*N2/D2</f>
        <v>12.86576404044003</v>
      </c>
      <c r="Y2">
        <f>W2+X2</f>
        <v>51.402930566071348</v>
      </c>
    </row>
    <row r="3" spans="1:25" x14ac:dyDescent="0.2">
      <c r="A3">
        <v>2021</v>
      </c>
      <c r="B3" t="s">
        <v>5</v>
      </c>
      <c r="C3" t="s">
        <v>4</v>
      </c>
      <c r="D3" s="9">
        <v>238510</v>
      </c>
      <c r="E3" s="9">
        <v>30808</v>
      </c>
      <c r="F3" s="9">
        <v>42525</v>
      </c>
      <c r="G3" s="9">
        <v>25277</v>
      </c>
      <c r="H3" s="9">
        <v>11434</v>
      </c>
      <c r="I3" s="9">
        <v>1827</v>
      </c>
      <c r="J3" s="9">
        <v>1514</v>
      </c>
      <c r="K3" s="9">
        <v>1730</v>
      </c>
      <c r="L3" s="9">
        <v>2561</v>
      </c>
      <c r="M3" s="9">
        <v>92026</v>
      </c>
      <c r="N3" s="9">
        <v>28808</v>
      </c>
      <c r="O3">
        <f t="shared" ref="O3:O11" si="0">100*E3/D3</f>
        <v>12.916858831914805</v>
      </c>
      <c r="P3">
        <f t="shared" ref="P3:P11" si="1">100*F3/D3</f>
        <v>17.829441113580142</v>
      </c>
      <c r="Q3">
        <f t="shared" ref="Q3:Q11" si="2">100*G3/D3</f>
        <v>10.597878495660559</v>
      </c>
      <c r="R3">
        <f t="shared" ref="R3:R11" si="3">100*H3/D3</f>
        <v>4.7939289757242882</v>
      </c>
      <c r="S3">
        <f t="shared" ref="S3:S11" si="4">100*I3/D3</f>
        <v>0.76600561821307278</v>
      </c>
      <c r="T3">
        <f t="shared" ref="T3:T11" si="5">100*J3/D3</f>
        <v>0.63477422330300615</v>
      </c>
      <c r="U3">
        <f t="shared" ref="U3:U11" si="6">100*K3/D3</f>
        <v>0.72533646387992112</v>
      </c>
      <c r="V3">
        <f t="shared" ref="V3:V11" si="7">100*L3/D3</f>
        <v>1.0737495283216636</v>
      </c>
      <c r="W3">
        <f t="shared" ref="W3:W11" si="8">100*M3/D3</f>
        <v>38.583707182088801</v>
      </c>
      <c r="X3">
        <f t="shared" ref="X3:X11" si="9">100*N3/D3</f>
        <v>12.07831956731374</v>
      </c>
      <c r="Y3">
        <f t="shared" ref="Y3:Y21" si="10">W3+X3</f>
        <v>50.662026749402543</v>
      </c>
    </row>
    <row r="4" spans="1:25" x14ac:dyDescent="0.2">
      <c r="A4">
        <v>2021</v>
      </c>
      <c r="B4" t="s">
        <v>6</v>
      </c>
      <c r="C4" t="s">
        <v>4</v>
      </c>
      <c r="D4" s="9">
        <v>315293</v>
      </c>
      <c r="E4" s="9">
        <v>38764</v>
      </c>
      <c r="F4" s="9">
        <v>35434</v>
      </c>
      <c r="G4" s="9">
        <v>31381</v>
      </c>
      <c r="H4" s="9">
        <v>33162</v>
      </c>
      <c r="I4" s="9">
        <v>13684</v>
      </c>
      <c r="J4" s="9">
        <v>5911</v>
      </c>
      <c r="K4" s="9">
        <v>4818</v>
      </c>
      <c r="L4" s="9">
        <v>4725</v>
      </c>
      <c r="M4" s="9">
        <v>102551</v>
      </c>
      <c r="N4" s="9">
        <v>44863</v>
      </c>
      <c r="O4">
        <f t="shared" si="0"/>
        <v>12.294595820395632</v>
      </c>
      <c r="P4">
        <f t="shared" si="1"/>
        <v>11.238435360125344</v>
      </c>
      <c r="Q4">
        <f t="shared" si="2"/>
        <v>9.9529643855080838</v>
      </c>
      <c r="R4">
        <f t="shared" si="3"/>
        <v>10.517835790835825</v>
      </c>
      <c r="S4">
        <f t="shared" si="4"/>
        <v>4.3400900115131007</v>
      </c>
      <c r="T4">
        <f t="shared" si="5"/>
        <v>1.8747641083056077</v>
      </c>
      <c r="U4">
        <f t="shared" si="6"/>
        <v>1.5281024317063812</v>
      </c>
      <c r="V4">
        <f t="shared" si="7"/>
        <v>1.4986060584916252</v>
      </c>
      <c r="W4">
        <f t="shared" si="8"/>
        <v>32.525619027380884</v>
      </c>
      <c r="X4">
        <f t="shared" si="9"/>
        <v>14.228987005737521</v>
      </c>
      <c r="Y4">
        <f t="shared" si="10"/>
        <v>46.754606033118407</v>
      </c>
    </row>
    <row r="5" spans="1:25" x14ac:dyDescent="0.2">
      <c r="A5">
        <v>2021</v>
      </c>
      <c r="B5" t="s">
        <v>7</v>
      </c>
      <c r="C5" t="s">
        <v>4</v>
      </c>
      <c r="D5" s="9">
        <v>102702</v>
      </c>
      <c r="E5" s="9">
        <v>12386</v>
      </c>
      <c r="F5" s="9">
        <v>9580</v>
      </c>
      <c r="G5" s="9">
        <v>9107</v>
      </c>
      <c r="H5" s="9">
        <v>13035</v>
      </c>
      <c r="I5" s="9">
        <v>6532</v>
      </c>
      <c r="J5" s="9">
        <v>2206</v>
      </c>
      <c r="K5" s="9">
        <v>820</v>
      </c>
      <c r="L5" s="9">
        <v>1178</v>
      </c>
      <c r="M5" s="9">
        <v>33466</v>
      </c>
      <c r="N5" s="9">
        <v>14392</v>
      </c>
      <c r="O5">
        <f t="shared" si="0"/>
        <v>12.060135148293121</v>
      </c>
      <c r="P5">
        <f t="shared" si="1"/>
        <v>9.3279585597164605</v>
      </c>
      <c r="Q5">
        <f t="shared" si="2"/>
        <v>8.8674027769663688</v>
      </c>
      <c r="R5">
        <f t="shared" si="3"/>
        <v>12.692060524624642</v>
      </c>
      <c r="S5">
        <f t="shared" si="4"/>
        <v>6.3601487799653365</v>
      </c>
      <c r="T5">
        <f t="shared" si="5"/>
        <v>2.1479620650036026</v>
      </c>
      <c r="U5">
        <f t="shared" si="6"/>
        <v>0.79842651554984323</v>
      </c>
      <c r="V5">
        <f t="shared" si="7"/>
        <v>1.1470078479484334</v>
      </c>
      <c r="W5">
        <f t="shared" si="8"/>
        <v>32.585538743159823</v>
      </c>
      <c r="X5">
        <f t="shared" si="9"/>
        <v>14.013359038772371</v>
      </c>
      <c r="Y5">
        <f t="shared" si="10"/>
        <v>46.598897781932195</v>
      </c>
    </row>
    <row r="6" spans="1:25" x14ac:dyDescent="0.2">
      <c r="A6">
        <v>2021</v>
      </c>
      <c r="B6" t="s">
        <v>8</v>
      </c>
      <c r="C6" t="s">
        <v>4</v>
      </c>
      <c r="D6" s="9">
        <v>147610</v>
      </c>
      <c r="E6" s="9">
        <v>14084</v>
      </c>
      <c r="F6" s="9">
        <v>15483</v>
      </c>
      <c r="G6" s="9">
        <v>22949</v>
      </c>
      <c r="H6" s="9">
        <v>15231</v>
      </c>
      <c r="I6" s="9">
        <v>2614</v>
      </c>
      <c r="J6" s="9">
        <v>1205</v>
      </c>
      <c r="K6" s="9">
        <v>1273</v>
      </c>
      <c r="L6" s="9">
        <v>1464</v>
      </c>
      <c r="M6" s="9">
        <v>52349</v>
      </c>
      <c r="N6" s="9">
        <v>20958</v>
      </c>
      <c r="O6">
        <f t="shared" si="0"/>
        <v>9.541358986518528</v>
      </c>
      <c r="P6">
        <f t="shared" si="1"/>
        <v>10.489126752930018</v>
      </c>
      <c r="Q6">
        <f t="shared" si="2"/>
        <v>15.547049657882257</v>
      </c>
      <c r="R6">
        <f t="shared" si="3"/>
        <v>10.318406612018157</v>
      </c>
      <c r="S6">
        <f t="shared" si="4"/>
        <v>1.7708827315222546</v>
      </c>
      <c r="T6">
        <f t="shared" si="5"/>
        <v>0.81634035634442115</v>
      </c>
      <c r="U6">
        <f t="shared" si="6"/>
        <v>0.86240769595555855</v>
      </c>
      <c r="V6">
        <f t="shared" si="7"/>
        <v>0.99180272339272402</v>
      </c>
      <c r="W6">
        <f t="shared" si="8"/>
        <v>35.464399430932865</v>
      </c>
      <c r="X6">
        <f t="shared" si="9"/>
        <v>14.198225052503219</v>
      </c>
      <c r="Y6">
        <f t="shared" si="10"/>
        <v>49.662624483436083</v>
      </c>
    </row>
    <row r="7" spans="1:25" x14ac:dyDescent="0.2">
      <c r="A7">
        <v>2021</v>
      </c>
      <c r="B7" t="s">
        <v>9</v>
      </c>
      <c r="C7" t="s">
        <v>4</v>
      </c>
      <c r="D7" s="9">
        <v>117869</v>
      </c>
      <c r="E7" s="9">
        <v>13011</v>
      </c>
      <c r="F7" s="9">
        <v>22630</v>
      </c>
      <c r="G7" s="9">
        <v>15402</v>
      </c>
      <c r="H7" s="9">
        <v>4584</v>
      </c>
      <c r="I7" s="9">
        <v>3227</v>
      </c>
      <c r="J7" s="9">
        <v>1882</v>
      </c>
      <c r="K7" s="9">
        <v>2920</v>
      </c>
      <c r="L7" s="9">
        <v>2189</v>
      </c>
      <c r="M7" s="9">
        <v>36022</v>
      </c>
      <c r="N7" s="9">
        <v>16002</v>
      </c>
      <c r="O7">
        <f t="shared" si="0"/>
        <v>11.038525821038611</v>
      </c>
      <c r="P7">
        <f t="shared" si="1"/>
        <v>19.199280557228789</v>
      </c>
      <c r="Q7">
        <f t="shared" si="2"/>
        <v>13.067049012038789</v>
      </c>
      <c r="R7">
        <f t="shared" si="3"/>
        <v>3.889063282118284</v>
      </c>
      <c r="S7">
        <f t="shared" si="4"/>
        <v>2.7377851682800398</v>
      </c>
      <c r="T7">
        <f t="shared" si="5"/>
        <v>1.5966878483740423</v>
      </c>
      <c r="U7">
        <f t="shared" si="6"/>
        <v>2.4773265235133919</v>
      </c>
      <c r="V7">
        <f t="shared" si="7"/>
        <v>1.85714649314069</v>
      </c>
      <c r="W7">
        <f t="shared" si="8"/>
        <v>30.561046585616236</v>
      </c>
      <c r="X7">
        <f t="shared" si="9"/>
        <v>13.576088708651129</v>
      </c>
      <c r="Y7">
        <f t="shared" si="10"/>
        <v>44.137135294267367</v>
      </c>
    </row>
    <row r="8" spans="1:25" x14ac:dyDescent="0.2">
      <c r="A8">
        <v>2021</v>
      </c>
      <c r="B8" t="s">
        <v>10</v>
      </c>
      <c r="C8" t="s">
        <v>4</v>
      </c>
      <c r="D8" s="9">
        <v>252343</v>
      </c>
      <c r="E8" s="9">
        <v>29517</v>
      </c>
      <c r="F8" s="9">
        <v>18751</v>
      </c>
      <c r="G8" s="9">
        <v>22318</v>
      </c>
      <c r="H8" s="9">
        <v>28376</v>
      </c>
      <c r="I8" s="9">
        <v>11760</v>
      </c>
      <c r="J8" s="9">
        <v>8488</v>
      </c>
      <c r="K8" s="9">
        <v>6689</v>
      </c>
      <c r="L8" s="9">
        <v>5146</v>
      </c>
      <c r="M8" s="9">
        <v>85967</v>
      </c>
      <c r="N8" s="9">
        <v>35331</v>
      </c>
      <c r="O8">
        <f t="shared" si="0"/>
        <v>11.697174084480251</v>
      </c>
      <c r="P8">
        <f t="shared" si="1"/>
        <v>7.4307589273330352</v>
      </c>
      <c r="Q8">
        <f t="shared" si="2"/>
        <v>8.8443111162187975</v>
      </c>
      <c r="R8">
        <f t="shared" si="3"/>
        <v>11.245011749880124</v>
      </c>
      <c r="S8">
        <f t="shared" si="4"/>
        <v>4.6603234486393523</v>
      </c>
      <c r="T8">
        <f t="shared" si="5"/>
        <v>3.3636756319771104</v>
      </c>
      <c r="U8">
        <f t="shared" si="6"/>
        <v>2.6507571044174001</v>
      </c>
      <c r="V8">
        <f t="shared" si="7"/>
        <v>2.0392877947872536</v>
      </c>
      <c r="W8">
        <f t="shared" si="8"/>
        <v>34.067519209964217</v>
      </c>
      <c r="X8">
        <f t="shared" si="9"/>
        <v>14.001180932302461</v>
      </c>
      <c r="Y8">
        <f t="shared" si="10"/>
        <v>48.068700142266678</v>
      </c>
    </row>
    <row r="9" spans="1:25" x14ac:dyDescent="0.2">
      <c r="A9">
        <v>2021</v>
      </c>
      <c r="B9" t="s">
        <v>63</v>
      </c>
      <c r="C9" t="s">
        <v>11</v>
      </c>
      <c r="D9" s="9">
        <v>1264139</v>
      </c>
      <c r="E9" s="9">
        <v>150031</v>
      </c>
      <c r="F9" s="9">
        <v>154230</v>
      </c>
      <c r="G9" s="9">
        <v>133323</v>
      </c>
      <c r="H9" s="9">
        <v>116672</v>
      </c>
      <c r="I9" s="9">
        <v>42029</v>
      </c>
      <c r="J9" s="9">
        <v>21686</v>
      </c>
      <c r="K9" s="9">
        <v>18850</v>
      </c>
      <c r="L9" s="9">
        <v>18417</v>
      </c>
      <c r="M9" s="9">
        <v>436992</v>
      </c>
      <c r="N9" s="9">
        <v>171909</v>
      </c>
      <c r="O9">
        <f t="shared" si="0"/>
        <v>11.868236008856622</v>
      </c>
      <c r="P9">
        <f t="shared" si="1"/>
        <v>12.200398848544346</v>
      </c>
      <c r="Q9">
        <f t="shared" si="2"/>
        <v>10.546545909903895</v>
      </c>
      <c r="R9">
        <f t="shared" si="3"/>
        <v>9.2293648087749851</v>
      </c>
      <c r="S9">
        <f t="shared" si="4"/>
        <v>3.3247135006514315</v>
      </c>
      <c r="T9">
        <f t="shared" si="5"/>
        <v>1.7154759088992586</v>
      </c>
      <c r="U9">
        <f t="shared" si="6"/>
        <v>1.4911334908582046</v>
      </c>
      <c r="V9">
        <f t="shared" si="7"/>
        <v>1.4568809284422046</v>
      </c>
      <c r="W9">
        <f t="shared" si="8"/>
        <v>34.568350474117167</v>
      </c>
      <c r="X9">
        <f t="shared" si="9"/>
        <v>13.598900120951889</v>
      </c>
      <c r="Y9">
        <f t="shared" si="10"/>
        <v>48.167250595069056</v>
      </c>
    </row>
    <row r="10" spans="1:25" x14ac:dyDescent="0.2">
      <c r="A10">
        <v>2021</v>
      </c>
      <c r="B10" t="s">
        <v>12</v>
      </c>
      <c r="C10" t="s">
        <v>13</v>
      </c>
      <c r="D10" s="9">
        <v>26405215</v>
      </c>
      <c r="E10" s="9">
        <v>2898994</v>
      </c>
      <c r="F10" s="9">
        <v>3335948</v>
      </c>
      <c r="G10" s="9">
        <v>3099302</v>
      </c>
      <c r="H10" s="9">
        <v>2750302</v>
      </c>
      <c r="I10" s="9">
        <v>1051968</v>
      </c>
      <c r="J10" s="9">
        <v>439294</v>
      </c>
      <c r="K10" s="9">
        <v>336581</v>
      </c>
      <c r="L10" s="9">
        <v>355062</v>
      </c>
      <c r="M10" s="9">
        <v>8321252</v>
      </c>
      <c r="N10" s="9">
        <v>3816512</v>
      </c>
      <c r="O10">
        <f t="shared" si="0"/>
        <v>10.97886913626721</v>
      </c>
      <c r="P10">
        <f t="shared" si="1"/>
        <v>12.633671038088499</v>
      </c>
      <c r="Q10">
        <f t="shared" si="2"/>
        <v>11.737461709741806</v>
      </c>
      <c r="R10">
        <f t="shared" si="3"/>
        <v>10.415753100287198</v>
      </c>
      <c r="S10">
        <f t="shared" si="4"/>
        <v>3.9839402936124548</v>
      </c>
      <c r="T10">
        <f t="shared" si="5"/>
        <v>1.6636637876268003</v>
      </c>
      <c r="U10">
        <f t="shared" si="6"/>
        <v>1.2746762334637305</v>
      </c>
      <c r="V10">
        <f t="shared" si="7"/>
        <v>1.344666195673847</v>
      </c>
      <c r="W10">
        <f t="shared" si="8"/>
        <v>31.513668796107133</v>
      </c>
      <c r="X10">
        <f t="shared" si="9"/>
        <v>14.453629709131322</v>
      </c>
      <c r="Y10">
        <f t="shared" si="10"/>
        <v>45.967298505238453</v>
      </c>
    </row>
    <row r="11" spans="1:25" x14ac:dyDescent="0.2">
      <c r="A11">
        <v>2021</v>
      </c>
      <c r="B11" t="s">
        <v>14</v>
      </c>
      <c r="C11" t="s">
        <v>13</v>
      </c>
      <c r="D11" s="9">
        <v>22045138</v>
      </c>
      <c r="E11" s="9">
        <v>2567803</v>
      </c>
      <c r="F11" s="9">
        <v>2851054</v>
      </c>
      <c r="G11" s="9">
        <v>2565631</v>
      </c>
      <c r="H11" s="9">
        <v>2340772</v>
      </c>
      <c r="I11" s="9">
        <v>972071</v>
      </c>
      <c r="J11" s="9">
        <v>416149</v>
      </c>
      <c r="K11" s="9">
        <v>320773</v>
      </c>
      <c r="L11" s="9">
        <v>325145</v>
      </c>
      <c r="M11" s="9">
        <v>6484429</v>
      </c>
      <c r="N11" s="9">
        <v>3201311</v>
      </c>
      <c r="O11">
        <f t="shared" si="0"/>
        <v>11.647933435481329</v>
      </c>
      <c r="P11">
        <f t="shared" si="1"/>
        <v>12.932801781508466</v>
      </c>
      <c r="Q11">
        <f t="shared" si="2"/>
        <v>11.638080922877416</v>
      </c>
      <c r="R11">
        <f t="shared" si="3"/>
        <v>10.618087307958788</v>
      </c>
      <c r="S11">
        <f t="shared" si="4"/>
        <v>4.4094575411594157</v>
      </c>
      <c r="T11">
        <f t="shared" si="5"/>
        <v>1.8877132907945506</v>
      </c>
      <c r="U11">
        <f t="shared" si="6"/>
        <v>1.455073676563059</v>
      </c>
      <c r="V11">
        <f t="shared" si="7"/>
        <v>1.4749057139039004</v>
      </c>
      <c r="W11">
        <f t="shared" si="8"/>
        <v>29.414327095616276</v>
      </c>
      <c r="X11">
        <f t="shared" si="9"/>
        <v>14.521619234136796</v>
      </c>
      <c r="Y11">
        <f t="shared" si="10"/>
        <v>43.935946329753072</v>
      </c>
    </row>
    <row r="12" spans="1:25" x14ac:dyDescent="0.2">
      <c r="A12">
        <v>2011</v>
      </c>
      <c r="B12" t="s">
        <v>3</v>
      </c>
      <c r="C12" t="s">
        <v>4</v>
      </c>
      <c r="D12" s="9">
        <v>84858</v>
      </c>
      <c r="E12" s="9">
        <v>17252</v>
      </c>
      <c r="F12" s="9">
        <v>15658</v>
      </c>
      <c r="G12" s="9">
        <v>9527</v>
      </c>
      <c r="H12" s="9">
        <v>16284</v>
      </c>
      <c r="I12" s="9">
        <v>3816</v>
      </c>
      <c r="J12" s="9">
        <v>708</v>
      </c>
      <c r="K12" s="9">
        <v>1246</v>
      </c>
      <c r="L12" s="9">
        <v>2787</v>
      </c>
      <c r="M12" s="9">
        <v>10624</v>
      </c>
      <c r="N12" s="9">
        <v>6956</v>
      </c>
      <c r="O12">
        <f>100*E12/D12</f>
        <v>20.330434372716773</v>
      </c>
      <c r="P12">
        <f>100*F12/D12</f>
        <v>18.452002168328267</v>
      </c>
      <c r="Q12">
        <f>100*G12/D12</f>
        <v>11.226990973155154</v>
      </c>
      <c r="R12">
        <f>100*H12/D12</f>
        <v>19.189705154493389</v>
      </c>
      <c r="S12">
        <f>100*I12/D12</f>
        <v>4.496924273492187</v>
      </c>
      <c r="T12">
        <f>100*J12/D12</f>
        <v>0.83433500671710392</v>
      </c>
      <c r="U12">
        <f>100*K12/D12</f>
        <v>1.4683353366801009</v>
      </c>
      <c r="V12">
        <f>100*L12/D12</f>
        <v>3.2843102594923286</v>
      </c>
      <c r="W12">
        <f>100*M12/D12</f>
        <v>12.519738857856655</v>
      </c>
      <c r="X12">
        <f>100*N12/D12</f>
        <v>8.1972235970680423</v>
      </c>
      <c r="Y12">
        <f t="shared" si="10"/>
        <v>20.716962454924698</v>
      </c>
    </row>
    <row r="13" spans="1:25" x14ac:dyDescent="0.2">
      <c r="A13">
        <v>2011</v>
      </c>
      <c r="B13" t="s">
        <v>5</v>
      </c>
      <c r="C13" t="s">
        <v>4</v>
      </c>
      <c r="D13" s="9">
        <v>209995</v>
      </c>
      <c r="E13" s="9">
        <v>45846</v>
      </c>
      <c r="F13" s="9">
        <v>63042</v>
      </c>
      <c r="G13" s="9">
        <v>35751</v>
      </c>
      <c r="H13" s="9">
        <v>15836</v>
      </c>
      <c r="I13" s="9">
        <v>2946</v>
      </c>
      <c r="J13" s="9">
        <v>2111</v>
      </c>
      <c r="K13" s="9">
        <v>2808</v>
      </c>
      <c r="L13" s="9">
        <v>6856</v>
      </c>
      <c r="M13" s="9">
        <v>17841</v>
      </c>
      <c r="N13" s="9">
        <v>16958</v>
      </c>
      <c r="O13">
        <f t="shared" ref="O13:O21" si="11">100*E13/D13</f>
        <v>21.831948379723325</v>
      </c>
      <c r="P13">
        <f t="shared" ref="P13:P21" si="12">100*F13/D13</f>
        <v>30.020714778923306</v>
      </c>
      <c r="Q13">
        <f t="shared" ref="Q13:Q21" si="13">100*G13/D13</f>
        <v>17.024691064072954</v>
      </c>
      <c r="R13">
        <f t="shared" ref="R13:R21" si="14">100*H13/D13</f>
        <v>7.5411319317126599</v>
      </c>
      <c r="S13">
        <f t="shared" ref="S13:S21" si="15">100*I13/D13</f>
        <v>1.4028905450129765</v>
      </c>
      <c r="T13">
        <f t="shared" ref="T13:T21" si="16">100*J13/D13</f>
        <v>1.0052620300483346</v>
      </c>
      <c r="U13">
        <f t="shared" ref="U13:U21" si="17">100*K13/D13</f>
        <v>1.3371746946355865</v>
      </c>
      <c r="V13">
        <f t="shared" ref="V13:V21" si="18">100*L13/D13</f>
        <v>3.2648396390390246</v>
      </c>
      <c r="W13">
        <f t="shared" ref="W13:W21" si="19">100*M13/D13</f>
        <v>8.4959165694421301</v>
      </c>
      <c r="X13">
        <f t="shared" ref="X13:X21" si="20">100*N13/D13</f>
        <v>8.0754303673896999</v>
      </c>
      <c r="Y13">
        <f t="shared" si="10"/>
        <v>16.57134693683183</v>
      </c>
    </row>
    <row r="14" spans="1:25" x14ac:dyDescent="0.2">
      <c r="A14">
        <v>2011</v>
      </c>
      <c r="B14" t="s">
        <v>6</v>
      </c>
      <c r="C14" t="s">
        <v>4</v>
      </c>
      <c r="D14" s="9">
        <v>300040</v>
      </c>
      <c r="E14" s="9">
        <v>55452</v>
      </c>
      <c r="F14" s="9">
        <v>51602</v>
      </c>
      <c r="G14" s="9">
        <v>41982</v>
      </c>
      <c r="H14" s="9">
        <v>43590</v>
      </c>
      <c r="I14" s="9">
        <v>18074</v>
      </c>
      <c r="J14" s="9">
        <v>8123</v>
      </c>
      <c r="K14" s="9">
        <v>8172</v>
      </c>
      <c r="L14" s="9">
        <v>11481</v>
      </c>
      <c r="M14" s="9">
        <v>37306</v>
      </c>
      <c r="N14" s="9">
        <v>24258</v>
      </c>
      <c r="O14">
        <f t="shared" si="11"/>
        <v>18.481535795227302</v>
      </c>
      <c r="P14">
        <f t="shared" si="12"/>
        <v>17.198373550193306</v>
      </c>
      <c r="Q14">
        <f t="shared" si="13"/>
        <v>13.992134382082389</v>
      </c>
      <c r="R14">
        <f t="shared" si="14"/>
        <v>14.528062924943342</v>
      </c>
      <c r="S14">
        <f t="shared" si="15"/>
        <v>6.0238634848686843</v>
      </c>
      <c r="T14">
        <f t="shared" si="16"/>
        <v>2.7073056925743235</v>
      </c>
      <c r="U14">
        <f t="shared" si="17"/>
        <v>2.7236368484202105</v>
      </c>
      <c r="V14">
        <f t="shared" si="18"/>
        <v>3.8264898013598185</v>
      </c>
      <c r="W14">
        <f t="shared" si="19"/>
        <v>12.433675509932009</v>
      </c>
      <c r="X14">
        <f t="shared" si="20"/>
        <v>8.0849220103986141</v>
      </c>
      <c r="Y14">
        <f t="shared" si="10"/>
        <v>20.518597520330623</v>
      </c>
    </row>
    <row r="15" spans="1:25" x14ac:dyDescent="0.2">
      <c r="A15">
        <v>2011</v>
      </c>
      <c r="B15" t="s">
        <v>7</v>
      </c>
      <c r="C15" t="s">
        <v>4</v>
      </c>
      <c r="D15" s="9">
        <v>97563</v>
      </c>
      <c r="E15" s="9">
        <v>17364</v>
      </c>
      <c r="F15" s="9">
        <v>12659</v>
      </c>
      <c r="G15" s="9">
        <v>12469</v>
      </c>
      <c r="H15" s="9">
        <v>19313</v>
      </c>
      <c r="I15" s="9">
        <v>8229</v>
      </c>
      <c r="J15" s="9">
        <v>2789</v>
      </c>
      <c r="K15" s="9">
        <v>1191</v>
      </c>
      <c r="L15" s="9">
        <v>3726</v>
      </c>
      <c r="M15" s="9">
        <v>11734</v>
      </c>
      <c r="N15" s="9">
        <v>8089</v>
      </c>
      <c r="O15">
        <f t="shared" si="11"/>
        <v>17.797730697088035</v>
      </c>
      <c r="P15">
        <f t="shared" si="12"/>
        <v>12.975205764480387</v>
      </c>
      <c r="Q15">
        <f t="shared" si="13"/>
        <v>12.780459805459037</v>
      </c>
      <c r="R15">
        <f t="shared" si="14"/>
        <v>19.795414245154412</v>
      </c>
      <c r="S15">
        <f t="shared" si="15"/>
        <v>8.4345499830878516</v>
      </c>
      <c r="T15">
        <f t="shared" si="16"/>
        <v>2.8586656826870844</v>
      </c>
      <c r="U15">
        <f t="shared" si="17"/>
        <v>1.2207496694443589</v>
      </c>
      <c r="V15">
        <f t="shared" si="18"/>
        <v>3.8190707542818485</v>
      </c>
      <c r="W15">
        <f t="shared" si="19"/>
        <v>12.027100437665919</v>
      </c>
      <c r="X15">
        <f t="shared" si="20"/>
        <v>8.2910529606510668</v>
      </c>
      <c r="Y15">
        <f t="shared" si="10"/>
        <v>20.318153398316987</v>
      </c>
    </row>
    <row r="16" spans="1:25" x14ac:dyDescent="0.2">
      <c r="A16">
        <v>2011</v>
      </c>
      <c r="B16" t="s">
        <v>8</v>
      </c>
      <c r="C16" t="s">
        <v>4</v>
      </c>
      <c r="D16" s="9">
        <v>136531</v>
      </c>
      <c r="E16" s="9">
        <v>21120</v>
      </c>
      <c r="F16" s="9">
        <v>22334</v>
      </c>
      <c r="G16" s="9">
        <v>34619</v>
      </c>
      <c r="H16" s="9">
        <v>22076</v>
      </c>
      <c r="I16" s="9">
        <v>3643</v>
      </c>
      <c r="J16" s="9">
        <v>1730</v>
      </c>
      <c r="K16" s="9">
        <v>2551</v>
      </c>
      <c r="L16" s="9">
        <v>4599</v>
      </c>
      <c r="M16" s="9">
        <v>12787</v>
      </c>
      <c r="N16" s="9">
        <v>11072</v>
      </c>
      <c r="O16">
        <f t="shared" si="11"/>
        <v>15.469014363038431</v>
      </c>
      <c r="P16">
        <f t="shared" si="12"/>
        <v>16.358189715156264</v>
      </c>
      <c r="Q16">
        <f t="shared" si="13"/>
        <v>25.356146223202057</v>
      </c>
      <c r="R16">
        <f t="shared" si="14"/>
        <v>16.169221641971422</v>
      </c>
      <c r="S16">
        <f t="shared" si="15"/>
        <v>2.6682584907456914</v>
      </c>
      <c r="T16">
        <f t="shared" si="16"/>
        <v>1.2671114984875229</v>
      </c>
      <c r="U16">
        <f t="shared" si="17"/>
        <v>1.8684401344749544</v>
      </c>
      <c r="V16">
        <f t="shared" si="18"/>
        <v>3.3684657696786808</v>
      </c>
      <c r="W16">
        <f t="shared" si="19"/>
        <v>9.3656385729248299</v>
      </c>
      <c r="X16">
        <f t="shared" si="20"/>
        <v>8.1095135903201463</v>
      </c>
      <c r="Y16">
        <f t="shared" si="10"/>
        <v>17.475152163244978</v>
      </c>
    </row>
    <row r="17" spans="1:25" x14ac:dyDescent="0.2">
      <c r="A17">
        <v>2011</v>
      </c>
      <c r="B17" t="s">
        <v>9</v>
      </c>
      <c r="C17" t="s">
        <v>4</v>
      </c>
      <c r="D17" s="9">
        <v>109499</v>
      </c>
      <c r="E17" s="9">
        <v>20280</v>
      </c>
      <c r="F17" s="9">
        <v>31812</v>
      </c>
      <c r="G17" s="9">
        <v>18354</v>
      </c>
      <c r="H17" s="9">
        <v>5507</v>
      </c>
      <c r="I17" s="9">
        <v>3104</v>
      </c>
      <c r="J17" s="9">
        <v>2333</v>
      </c>
      <c r="K17" s="9">
        <v>4312</v>
      </c>
      <c r="L17" s="9">
        <v>6722</v>
      </c>
      <c r="M17" s="9">
        <v>8849</v>
      </c>
      <c r="N17" s="9">
        <v>8226</v>
      </c>
      <c r="O17">
        <f t="shared" si="11"/>
        <v>18.520717084174283</v>
      </c>
      <c r="P17">
        <f t="shared" si="12"/>
        <v>29.052320112512444</v>
      </c>
      <c r="Q17">
        <f t="shared" si="13"/>
        <v>16.761796911387318</v>
      </c>
      <c r="R17">
        <f t="shared" si="14"/>
        <v>5.0292696736956506</v>
      </c>
      <c r="S17">
        <f t="shared" si="15"/>
        <v>2.8347290842838748</v>
      </c>
      <c r="T17">
        <f t="shared" si="16"/>
        <v>2.1306130649594972</v>
      </c>
      <c r="U17">
        <f t="shared" si="17"/>
        <v>3.937935506260331</v>
      </c>
      <c r="V17">
        <f t="shared" si="18"/>
        <v>6.1388688481173341</v>
      </c>
      <c r="W17">
        <f t="shared" si="19"/>
        <v>8.0813523411172703</v>
      </c>
      <c r="X17">
        <f t="shared" si="20"/>
        <v>7.5123973734919955</v>
      </c>
      <c r="Y17">
        <f t="shared" si="10"/>
        <v>15.593749714609267</v>
      </c>
    </row>
    <row r="18" spans="1:25" x14ac:dyDescent="0.2">
      <c r="A18">
        <v>2011</v>
      </c>
      <c r="B18" t="s">
        <v>10</v>
      </c>
      <c r="C18" t="s">
        <v>4</v>
      </c>
      <c r="D18" s="9">
        <v>239216</v>
      </c>
      <c r="E18" s="9">
        <v>46432</v>
      </c>
      <c r="F18" s="9">
        <v>25593</v>
      </c>
      <c r="G18" s="9">
        <v>31023</v>
      </c>
      <c r="H18" s="9">
        <v>38325</v>
      </c>
      <c r="I18" s="9">
        <v>16609</v>
      </c>
      <c r="J18" s="9">
        <v>10406</v>
      </c>
      <c r="K18" s="9">
        <v>7302</v>
      </c>
      <c r="L18" s="9">
        <v>12013</v>
      </c>
      <c r="M18" s="9">
        <v>32701</v>
      </c>
      <c r="N18" s="9">
        <v>18812</v>
      </c>
      <c r="O18">
        <f t="shared" si="11"/>
        <v>19.410072904822421</v>
      </c>
      <c r="P18">
        <f t="shared" si="12"/>
        <v>10.698699083673333</v>
      </c>
      <c r="Q18">
        <f t="shared" si="13"/>
        <v>12.96861413952244</v>
      </c>
      <c r="R18">
        <f t="shared" si="14"/>
        <v>16.021085546117316</v>
      </c>
      <c r="S18">
        <f t="shared" si="15"/>
        <v>6.9430974516754729</v>
      </c>
      <c r="T18">
        <f t="shared" si="16"/>
        <v>4.3500434753528188</v>
      </c>
      <c r="U18">
        <f t="shared" si="17"/>
        <v>3.0524714065948766</v>
      </c>
      <c r="V18">
        <f t="shared" si="18"/>
        <v>5.0218212828573341</v>
      </c>
      <c r="W18">
        <f t="shared" si="19"/>
        <v>13.670072235970839</v>
      </c>
      <c r="X18">
        <f t="shared" si="20"/>
        <v>7.8640224734131499</v>
      </c>
      <c r="Y18">
        <f t="shared" si="10"/>
        <v>21.534094709383989</v>
      </c>
    </row>
    <row r="19" spans="1:25" x14ac:dyDescent="0.2">
      <c r="A19">
        <v>2011</v>
      </c>
      <c r="B19" t="s">
        <v>63</v>
      </c>
      <c r="C19" t="s">
        <v>11</v>
      </c>
      <c r="D19" s="12">
        <f>SUM(D12:D18)</f>
        <v>1177702</v>
      </c>
      <c r="E19" s="12">
        <f t="shared" ref="E19:N19" si="21">SUM(E12:E18)</f>
        <v>223746</v>
      </c>
      <c r="F19" s="12">
        <f t="shared" si="21"/>
        <v>222700</v>
      </c>
      <c r="G19" s="12">
        <f t="shared" si="21"/>
        <v>183725</v>
      </c>
      <c r="H19" s="12">
        <f t="shared" si="21"/>
        <v>160931</v>
      </c>
      <c r="I19" s="12">
        <f t="shared" si="21"/>
        <v>56421</v>
      </c>
      <c r="J19" s="12">
        <f t="shared" si="21"/>
        <v>28200</v>
      </c>
      <c r="K19" s="12">
        <f t="shared" si="21"/>
        <v>27582</v>
      </c>
      <c r="L19" s="12">
        <f t="shared" si="21"/>
        <v>48184</v>
      </c>
      <c r="M19" s="12">
        <f t="shared" si="21"/>
        <v>131842</v>
      </c>
      <c r="N19" s="12">
        <f t="shared" si="21"/>
        <v>94371</v>
      </c>
      <c r="O19">
        <f t="shared" si="11"/>
        <v>18.998524244673099</v>
      </c>
      <c r="P19">
        <f t="shared" si="12"/>
        <v>18.909707209463853</v>
      </c>
      <c r="Q19">
        <f t="shared" si="13"/>
        <v>15.600296169998861</v>
      </c>
      <c r="R19">
        <f t="shared" si="14"/>
        <v>13.664832020324326</v>
      </c>
      <c r="S19">
        <f t="shared" si="15"/>
        <v>4.7907705005171088</v>
      </c>
      <c r="T19">
        <f t="shared" si="16"/>
        <v>2.3944936834615209</v>
      </c>
      <c r="U19">
        <f t="shared" si="17"/>
        <v>2.342018609121832</v>
      </c>
      <c r="V19">
        <f t="shared" si="18"/>
        <v>4.0913575760251746</v>
      </c>
      <c r="W19">
        <f t="shared" si="19"/>
        <v>11.194852348047299</v>
      </c>
      <c r="X19">
        <f t="shared" si="20"/>
        <v>8.013147638366922</v>
      </c>
      <c r="Y19">
        <f t="shared" si="10"/>
        <v>19.207999986414222</v>
      </c>
    </row>
    <row r="20" spans="1:25" x14ac:dyDescent="0.2">
      <c r="A20">
        <v>2011</v>
      </c>
      <c r="B20" t="s">
        <v>12</v>
      </c>
      <c r="C20" t="s">
        <v>13</v>
      </c>
      <c r="D20" s="9">
        <v>25162721</v>
      </c>
      <c r="E20" s="9">
        <v>4170138</v>
      </c>
      <c r="F20" s="9">
        <v>4627289</v>
      </c>
      <c r="G20" s="9">
        <v>4364988</v>
      </c>
      <c r="H20" s="9">
        <v>3848064</v>
      </c>
      <c r="I20" s="9">
        <v>1439855</v>
      </c>
      <c r="J20" s="9">
        <v>642205</v>
      </c>
      <c r="K20" s="9">
        <v>586489</v>
      </c>
      <c r="L20" s="9">
        <v>773984</v>
      </c>
      <c r="M20" s="9">
        <v>2581832</v>
      </c>
      <c r="N20" s="9">
        <v>2127877</v>
      </c>
      <c r="O20">
        <f t="shared" si="11"/>
        <v>16.572683057607325</v>
      </c>
      <c r="P20">
        <f t="shared" si="12"/>
        <v>18.389461934581718</v>
      </c>
      <c r="Q20">
        <f t="shared" si="13"/>
        <v>17.347042873463487</v>
      </c>
      <c r="R20">
        <f t="shared" si="14"/>
        <v>15.29271814443279</v>
      </c>
      <c r="S20">
        <f t="shared" si="15"/>
        <v>5.7221752766721847</v>
      </c>
      <c r="T20">
        <f t="shared" si="16"/>
        <v>2.5522080859220271</v>
      </c>
      <c r="U20">
        <f t="shared" si="17"/>
        <v>2.3307852914635108</v>
      </c>
      <c r="V20">
        <f t="shared" si="18"/>
        <v>3.0759153590742434</v>
      </c>
      <c r="W20">
        <f t="shared" si="19"/>
        <v>10.260543762337944</v>
      </c>
      <c r="X20">
        <f t="shared" si="20"/>
        <v>8.4564662144447738</v>
      </c>
      <c r="Y20">
        <f t="shared" si="10"/>
        <v>18.71700997678272</v>
      </c>
    </row>
    <row r="21" spans="1:25" x14ac:dyDescent="0.2">
      <c r="A21">
        <v>2011</v>
      </c>
      <c r="B21" t="s">
        <v>14</v>
      </c>
      <c r="C21" t="s">
        <v>13</v>
      </c>
      <c r="D21" s="9">
        <v>21163824</v>
      </c>
      <c r="E21" s="9">
        <v>3695553</v>
      </c>
      <c r="F21" s="9">
        <v>3911353</v>
      </c>
      <c r="G21" s="9">
        <v>3438342</v>
      </c>
      <c r="H21" s="9">
        <v>3052231</v>
      </c>
      <c r="I21" s="9">
        <v>1285266</v>
      </c>
      <c r="J21" s="9">
        <v>603895</v>
      </c>
      <c r="K21" s="9">
        <v>558195</v>
      </c>
      <c r="L21" s="9">
        <v>721901</v>
      </c>
      <c r="M21" s="9">
        <v>2201167</v>
      </c>
      <c r="N21" s="9">
        <v>1695921</v>
      </c>
      <c r="O21">
        <f t="shared" si="11"/>
        <v>17.46165059773697</v>
      </c>
      <c r="P21">
        <f t="shared" si="12"/>
        <v>18.481315096931443</v>
      </c>
      <c r="Q21">
        <f t="shared" si="13"/>
        <v>16.246317300691974</v>
      </c>
      <c r="R21">
        <f t="shared" si="14"/>
        <v>14.42192582966103</v>
      </c>
      <c r="S21">
        <f t="shared" si="15"/>
        <v>6.0729384254943719</v>
      </c>
      <c r="T21">
        <f t="shared" si="16"/>
        <v>2.8534304575581424</v>
      </c>
      <c r="U21">
        <f t="shared" si="17"/>
        <v>2.637495945912232</v>
      </c>
      <c r="V21">
        <f t="shared" si="18"/>
        <v>3.4110140020064428</v>
      </c>
      <c r="W21">
        <f t="shared" si="19"/>
        <v>10.400610967091769</v>
      </c>
      <c r="X21">
        <f t="shared" si="20"/>
        <v>8.0133013769156278</v>
      </c>
      <c r="Y21">
        <f t="shared" si="10"/>
        <v>18.413912344007397</v>
      </c>
    </row>
    <row r="24" spans="1:25" x14ac:dyDescent="0.2">
      <c r="D24" s="12"/>
    </row>
  </sheetData>
  <pageMargins left="0.7" right="0.7" top="0.75" bottom="0.75" header="0.3" footer="0.3"/>
  <ignoredErrors>
    <ignoredError sqref="D19" formulaRange="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2026-02-11T17:16:06Z</dcterms:modified>
</cp:coreProperties>
</file>