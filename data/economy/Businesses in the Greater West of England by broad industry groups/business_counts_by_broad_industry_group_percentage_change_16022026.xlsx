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Economy - Registered_Business_Counts\Businesses in the Greater West of England by broad industry groups\"/>
    </mc:Choice>
  </mc:AlternateContent>
  <xr:revisionPtr revIDLastSave="0" documentId="13_ncr:1_{DBC48548-6D17-449F-BFF6-54113E29FCF2}" xr6:coauthVersionLast="47" xr6:coauthVersionMax="47" xr10:uidLastSave="{00000000-0000-0000-0000-000000000000}"/>
  <bookViews>
    <workbookView xWindow="-110" yWindow="-110" windowWidth="19420" windowHeight="11500" activeTab="2" xr2:uid="{F3838E48-33B6-3E4D-ABD2-7FEC8AC3400F}"/>
  </bookViews>
  <sheets>
    <sheet name="Metadata" sheetId="2" r:id="rId1"/>
    <sheet name="Data" sheetId="3" r:id="rId2"/>
    <sheet name="Analysis"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4" l="1"/>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2" i="4"/>
  <c r="H22" i="4"/>
  <c r="H23" i="4"/>
  <c r="H24" i="4"/>
  <c r="H25" i="4"/>
  <c r="H26" i="4"/>
  <c r="H27" i="4"/>
  <c r="H28" i="4"/>
  <c r="H29" i="4"/>
  <c r="H30" i="4"/>
  <c r="H31" i="4"/>
  <c r="H32" i="4"/>
  <c r="H33" i="4"/>
  <c r="H34" i="4"/>
  <c r="H35" i="4"/>
  <c r="H36" i="4"/>
  <c r="H37" i="4"/>
  <c r="H38" i="4"/>
  <c r="H39" i="4"/>
  <c r="H21" i="4"/>
  <c r="H3" i="4"/>
  <c r="H4" i="4"/>
  <c r="H5" i="4"/>
  <c r="H6" i="4"/>
  <c r="H7" i="4"/>
  <c r="H8" i="4"/>
  <c r="H9" i="4"/>
  <c r="H10" i="4"/>
  <c r="H11" i="4"/>
  <c r="H12" i="4"/>
  <c r="H13" i="4"/>
  <c r="H14" i="4"/>
  <c r="H15" i="4"/>
  <c r="H16" i="4"/>
  <c r="H17" i="4"/>
  <c r="H18" i="4"/>
  <c r="H19" i="4"/>
  <c r="H20" i="4"/>
  <c r="H2" i="4"/>
  <c r="G3" i="4"/>
  <c r="G4" i="4"/>
  <c r="G5" i="4"/>
  <c r="G6" i="4"/>
  <c r="G7" i="4"/>
  <c r="G8" i="4"/>
  <c r="G9" i="4"/>
  <c r="G10" i="4"/>
  <c r="G11" i="4"/>
  <c r="G12" i="4"/>
  <c r="G13" i="4"/>
  <c r="G14" i="4"/>
  <c r="G15" i="4"/>
  <c r="G17" i="4"/>
  <c r="G18" i="4"/>
  <c r="G19" i="4"/>
  <c r="G20" i="4"/>
  <c r="G21" i="4"/>
  <c r="G22" i="4"/>
  <c r="G23" i="4"/>
  <c r="G24" i="4"/>
  <c r="G25" i="4"/>
  <c r="G26" i="4"/>
  <c r="G27" i="4"/>
  <c r="G28" i="4"/>
  <c r="G29" i="4"/>
  <c r="G30" i="4"/>
  <c r="G31" i="4"/>
  <c r="G32" i="4"/>
  <c r="G33" i="4"/>
  <c r="G34" i="4"/>
  <c r="G35" i="4"/>
  <c r="G36" i="4"/>
  <c r="G37" i="4"/>
  <c r="G38" i="4"/>
  <c r="G39" i="4"/>
  <c r="G2" i="4"/>
  <c r="F3" i="4"/>
  <c r="F4" i="4"/>
  <c r="F5" i="4"/>
  <c r="F6" i="4"/>
  <c r="F7" i="4"/>
  <c r="F8" i="4"/>
  <c r="F9" i="4"/>
  <c r="F10" i="4"/>
  <c r="F11" i="4"/>
  <c r="F12" i="4"/>
  <c r="F13" i="4"/>
  <c r="F14" i="4"/>
  <c r="F15" i="4"/>
  <c r="F17" i="4"/>
  <c r="F18" i="4"/>
  <c r="F19" i="4"/>
  <c r="F20" i="4"/>
  <c r="F21" i="4"/>
  <c r="F22" i="4"/>
  <c r="F23" i="4"/>
  <c r="F24" i="4"/>
  <c r="F25" i="4"/>
  <c r="F26" i="4"/>
  <c r="F27" i="4"/>
  <c r="F28" i="4"/>
  <c r="F29" i="4"/>
  <c r="F30" i="4"/>
  <c r="F31" i="4"/>
  <c r="F32" i="4"/>
  <c r="F33" i="4"/>
  <c r="F34" i="4"/>
  <c r="F35" i="4"/>
  <c r="F36" i="4"/>
  <c r="F37" i="4"/>
  <c r="F38" i="4"/>
  <c r="F39" i="4"/>
  <c r="F2" i="4"/>
</calcChain>
</file>

<file path=xl/sharedStrings.xml><?xml version="1.0" encoding="utf-8"?>
<sst xmlns="http://schemas.openxmlformats.org/spreadsheetml/2006/main" count="170" uniqueCount="81">
  <si>
    <t>geography</t>
  </si>
  <si>
    <t>Publisher</t>
  </si>
  <si>
    <t>ONS dataset</t>
  </si>
  <si>
    <t>ONS tables</t>
  </si>
  <si>
    <t>ONS publication date</t>
  </si>
  <si>
    <t>Next ONS update</t>
  </si>
  <si>
    <t>ONS link</t>
  </si>
  <si>
    <t>Created date</t>
  </si>
  <si>
    <t>Last updated</t>
  </si>
  <si>
    <t>Geography used for analysis</t>
  </si>
  <si>
    <t xml:space="preserve">Aggregation method  </t>
  </si>
  <si>
    <t>Data information:</t>
  </si>
  <si>
    <t>Office for National Statistics (ONS)</t>
  </si>
  <si>
    <t>Autumn 26</t>
  </si>
  <si>
    <t>https://www.nomisweb.co.uk/datasets/idbrent</t>
  </si>
  <si>
    <t>Aggregated by NOMIS</t>
  </si>
  <si>
    <t>An extract compiled from the Inter Departmental Business Register (IDBR) recording the number of Enterprises that were live at a reference date in March, broken down by employment size band, detailed industry (5 digit SIC2007) and legal status. An Enterprise is the smallest combination of legal units which has a certain degree of autonomy within an Enterprise Group. Available from country down to mid layer super output area and Scottish intermediate zones.</t>
  </si>
  <si>
    <t>UK Business Counts - enterprises by industry and employment size band</t>
  </si>
  <si>
    <t>industry</t>
  </si>
  <si>
    <t>Total</t>
  </si>
  <si>
    <t>employment sizeband</t>
  </si>
  <si>
    <t>legal status</t>
  </si>
  <si>
    <t>Private sector total</t>
  </si>
  <si>
    <t>All figures are rounded to avoid disclosure. Values may be rounded down to zero and so all zeros are not necessarily true zeros. Totals across tables may differ by minor amounts due to the disclosure methods used. Furthermore, figures may differ by small amounts from those published in ONS outputs due to the application of a different rounding methodology.</t>
  </si>
  <si>
    <t>In 2015, ONS extended the coverage of businesses to include a population of solely PAYE based businesses that were previously excluded because of the risk of duplication. In total, in 2015, 105,000 businesses have been added.Improvements in matching of administrative data and research into those units excluded has indicated that the risk of duplication is very small. The addition of these businesses brings the publication in line with Business Demography and the BIS Business Population Estimates, both of which include these businesses. For more information, see http://www.nomisweb.co.uk/articles/news/files/UKBusinessCoverage.pdf.</t>
  </si>
  <si>
    <t>Total counts of businesses of different sizes are given as well as percentages of the total for each band.</t>
  </si>
  <si>
    <t>Manufacturing</t>
  </si>
  <si>
    <t>Construction</t>
  </si>
  <si>
    <t>Education</t>
  </si>
  <si>
    <t>A : Agriculture, forestry and fishing</t>
  </si>
  <si>
    <t>B : Mining and quarrying</t>
  </si>
  <si>
    <t>C : Manufacturing</t>
  </si>
  <si>
    <t>D : Electricity, gas, steam and air conditioning supply</t>
  </si>
  <si>
    <t>E : Water supply; sewerage, waste management and remediation activities</t>
  </si>
  <si>
    <t>F : Construction</t>
  </si>
  <si>
    <t>G : Wholesale and retail trade; repair of motor vehicles and motorcycles</t>
  </si>
  <si>
    <t>H : Transportation and storage</t>
  </si>
  <si>
    <t>I : Accommodation and food service activities</t>
  </si>
  <si>
    <t>J : Information and communication</t>
  </si>
  <si>
    <t>K : Financial and insurance activities</t>
  </si>
  <si>
    <t>L : Real estate activities</t>
  </si>
  <si>
    <t>M : Professional, scientific and technical activities</t>
  </si>
  <si>
    <t>N : Administrative and support service activities</t>
  </si>
  <si>
    <t>O : Public administration and defence; compulsory social security</t>
  </si>
  <si>
    <t>P : Education</t>
  </si>
  <si>
    <t>Q : Human health and social work activities</t>
  </si>
  <si>
    <t>R : Arts, entertainment and recreation</t>
  </si>
  <si>
    <t>S : Other service activities</t>
  </si>
  <si>
    <t>Industry</t>
  </si>
  <si>
    <t>Agriculture, forestry and fishing</t>
  </si>
  <si>
    <t>Mining and quarrying</t>
  </si>
  <si>
    <t>Electricity, gas, steam and air conditioning supply</t>
  </si>
  <si>
    <t>Water supply; sewerage, waste management and remediation activities</t>
  </si>
  <si>
    <t>Wholesale and retail trade; repair of motor vehicles and motorcycles</t>
  </si>
  <si>
    <t>Transportation and storage</t>
  </si>
  <si>
    <t>Accommodation and food service activities</t>
  </si>
  <si>
    <t>Information and communication</t>
  </si>
  <si>
    <t>Financial and insurance activities</t>
  </si>
  <si>
    <t>Real estate activities</t>
  </si>
  <si>
    <t>Professional, scientific and technical activities</t>
  </si>
  <si>
    <t>Administrative and support service activities</t>
  </si>
  <si>
    <t>Public administration and defence; compulsory social security</t>
  </si>
  <si>
    <t>Human health and social work activities</t>
  </si>
  <si>
    <t>Arts, entertainment and recreation</t>
  </si>
  <si>
    <t>Other service activities</t>
  </si>
  <si>
    <t>Greater West of England</t>
  </si>
  <si>
    <t>total_2015</t>
  </si>
  <si>
    <t>total_2020</t>
  </si>
  <si>
    <t>total_2025</t>
  </si>
  <si>
    <t>change_since_2020</t>
  </si>
  <si>
    <t>England excluding London</t>
  </si>
  <si>
    <t>change_since_2015</t>
  </si>
  <si>
    <t>percentage_2025</t>
  </si>
  <si>
    <t>ONS Crown Copyright Reserved [from Nomis on 16 February 2026]</t>
  </si>
  <si>
    <t>area type</t>
  </si>
  <si>
    <t>User Defined Geography</t>
  </si>
  <si>
    <t>area name</t>
  </si>
  <si>
    <t>England_excluding_London</t>
  </si>
  <si>
    <t>Column Total</t>
  </si>
  <si>
    <t>The Greater West of England Area (Bristol, Bath &amp; North East Somerset, South Gloucestershire, North Somerset, Swindon, Wiltshire, England (+excluding London)</t>
  </si>
  <si>
    <t>number_change_since_2015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</si>
</sst>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809]dd\ mmmm\ yyyy;@"/>
  </numFmts>
  <fonts count="8" x14ac:knownFonts="1">
    <font>
      <sz val="12"/>
      <color theme="1"/>
      <name val="Aptos Narrow"/>
      <family val="2"/>
      <scheme val="minor"/>
    </font>
    <font>
      <sz val="11"/>
      <color theme="1"/>
      <name val="Aptos Narrow"/>
      <family val="2"/>
      <scheme val="minor"/>
    </font>
    <font>
      <b/>
      <sz val="11"/>
      <color theme="1"/>
      <name val="Aptos Narrow"/>
      <family val="2"/>
      <scheme val="minor"/>
    </font>
    <font>
      <b/>
      <sz val="12"/>
      <name val="Arial"/>
      <family val="2"/>
    </font>
    <font>
      <sz val="10"/>
      <name val="Arial"/>
      <family val="2"/>
    </font>
    <font>
      <b/>
      <sz val="10"/>
      <name val="Arial"/>
      <family val="2"/>
    </font>
    <font>
      <u/>
      <sz val="12"/>
      <color theme="10"/>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16">
    <xf numFmtId="0" fontId="0" fillId="0" borderId="0" xfId="0"/>
    <xf numFmtId="0" fontId="2" fillId="0" borderId="0" xfId="0" applyFont="1" applyAlignment="1">
      <alignment horizontal="left" wrapText="1"/>
    </xf>
    <xf numFmtId="0" fontId="3" fillId="0" borderId="0" xfId="0" applyFont="1" applyAlignment="1">
      <alignment horizontal="left" vertical="center"/>
    </xf>
    <xf numFmtId="0" fontId="4" fillId="0" borderId="0" xfId="0" applyFont="1"/>
    <xf numFmtId="0" fontId="4" fillId="0" borderId="0" xfId="0" applyFont="1" applyAlignment="1">
      <alignment horizontal="left"/>
    </xf>
    <xf numFmtId="0" fontId="5" fillId="0" borderId="0" xfId="0" applyFont="1" applyAlignment="1">
      <alignment horizontal="left" vertical="center" wrapText="1"/>
    </xf>
    <xf numFmtId="0" fontId="5" fillId="0" borderId="0" xfId="0" applyFont="1" applyAlignment="1">
      <alignment horizontal="center" vertical="center" wrapText="1"/>
    </xf>
    <xf numFmtId="3" fontId="4" fillId="0" borderId="0" xfId="0" applyNumberFormat="1" applyFont="1" applyAlignment="1">
      <alignment horizontal="right"/>
    </xf>
    <xf numFmtId="3" fontId="0" fillId="0" borderId="0" xfId="0" applyNumberFormat="1"/>
    <xf numFmtId="3" fontId="5" fillId="0" borderId="0" xfId="0" applyNumberFormat="1" applyFont="1" applyAlignment="1">
      <alignment horizontal="right" vertical="center"/>
    </xf>
    <xf numFmtId="0" fontId="0" fillId="0" borderId="0" xfId="0" applyAlignment="1">
      <alignment wrapText="1"/>
    </xf>
    <xf numFmtId="0" fontId="1" fillId="0" borderId="0" xfId="0" applyFont="1" applyAlignment="1">
      <alignment wrapText="1"/>
    </xf>
    <xf numFmtId="164" fontId="1" fillId="0" borderId="0" xfId="0" applyNumberFormat="1" applyFont="1" applyAlignment="1">
      <alignment wrapText="1"/>
    </xf>
    <xf numFmtId="0" fontId="7" fillId="0" borderId="0" xfId="1" applyFont="1" applyAlignment="1">
      <alignment wrapText="1"/>
    </xf>
    <xf numFmtId="14" fontId="1" fillId="0" borderId="0" xfId="0" applyNumberFormat="1" applyFont="1" applyAlignment="1">
      <alignment wrapText="1"/>
    </xf>
    <xf numFmtId="0" fontId="1"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datasets/idbr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4F89D-D895-144E-9321-FCBFF913ABF8}">
  <dimension ref="A1:B12"/>
  <sheetViews>
    <sheetView zoomScaleNormal="100" workbookViewId="0">
      <selection activeCell="C11" sqref="C11"/>
    </sheetView>
  </sheetViews>
  <sheetFormatPr defaultColWidth="10.6640625" defaultRowHeight="16" x14ac:dyDescent="0.4"/>
  <cols>
    <col min="1" max="1" width="19.5" customWidth="1"/>
    <col min="2" max="2" width="54.5" style="10" customWidth="1"/>
  </cols>
  <sheetData>
    <row r="1" spans="1:2" x14ac:dyDescent="0.4">
      <c r="A1" s="1" t="s">
        <v>1</v>
      </c>
      <c r="B1" s="11" t="s">
        <v>12</v>
      </c>
    </row>
    <row r="2" spans="1:2" x14ac:dyDescent="0.4">
      <c r="A2" s="1" t="s">
        <v>2</v>
      </c>
      <c r="B2" s="11" t="s">
        <v>17</v>
      </c>
    </row>
    <row r="3" spans="1:2" x14ac:dyDescent="0.4">
      <c r="A3" s="1" t="s">
        <v>3</v>
      </c>
      <c r="B3" s="11"/>
    </row>
    <row r="4" spans="1:2" x14ac:dyDescent="0.4">
      <c r="A4" s="1" t="s">
        <v>4</v>
      </c>
      <c r="B4" s="12">
        <v>45944</v>
      </c>
    </row>
    <row r="5" spans="1:2" x14ac:dyDescent="0.4">
      <c r="A5" s="1" t="s">
        <v>5</v>
      </c>
      <c r="B5" s="11" t="s">
        <v>13</v>
      </c>
    </row>
    <row r="6" spans="1:2" x14ac:dyDescent="0.4">
      <c r="A6" s="1" t="s">
        <v>6</v>
      </c>
      <c r="B6" s="13" t="s">
        <v>14</v>
      </c>
    </row>
    <row r="7" spans="1:2" x14ac:dyDescent="0.4">
      <c r="A7" s="1" t="s">
        <v>7</v>
      </c>
      <c r="B7" s="14">
        <v>46041</v>
      </c>
    </row>
    <row r="8" spans="1:2" x14ac:dyDescent="0.4">
      <c r="A8" s="1" t="s">
        <v>8</v>
      </c>
      <c r="B8" s="14">
        <v>46041</v>
      </c>
    </row>
    <row r="9" spans="1:2" ht="44" x14ac:dyDescent="0.4">
      <c r="A9" s="1" t="s">
        <v>9</v>
      </c>
      <c r="B9" s="11" t="s">
        <v>79</v>
      </c>
    </row>
    <row r="10" spans="1:2" x14ac:dyDescent="0.4">
      <c r="A10" s="1" t="s">
        <v>10</v>
      </c>
      <c r="B10" s="11" t="s">
        <v>15</v>
      </c>
    </row>
    <row r="11" spans="1:2" ht="102" x14ac:dyDescent="0.4">
      <c r="A11" s="1" t="s">
        <v>11</v>
      </c>
      <c r="B11" s="11" t="s">
        <v>16</v>
      </c>
    </row>
    <row r="12" spans="1:2" ht="29.5" x14ac:dyDescent="0.4">
      <c r="A12" s="15"/>
      <c r="B12" s="11" t="s">
        <v>25</v>
      </c>
    </row>
  </sheetData>
  <hyperlinks>
    <hyperlink ref="B6" r:id="rId1" xr:uid="{794BDF6B-C7B9-DF4F-B1F5-2519227EFD6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31F01-CF34-B04B-8F44-AFC33149FAE8}">
  <dimension ref="A1:M1078"/>
  <sheetViews>
    <sheetView topLeftCell="A29" zoomScaleNormal="100" workbookViewId="0">
      <selection activeCell="A1075" sqref="A1075"/>
    </sheetView>
  </sheetViews>
  <sheetFormatPr defaultColWidth="10.6640625" defaultRowHeight="16" x14ac:dyDescent="0.4"/>
  <sheetData>
    <row r="1" spans="1:13" x14ac:dyDescent="0.4">
      <c r="A1" s="2" t="s">
        <v>17</v>
      </c>
    </row>
    <row r="2" spans="1:13" x14ac:dyDescent="0.4">
      <c r="A2" s="3" t="s">
        <v>73</v>
      </c>
    </row>
    <row r="4" spans="1:13" x14ac:dyDescent="0.4">
      <c r="A4" s="4" t="s">
        <v>74</v>
      </c>
      <c r="B4" s="4" t="s">
        <v>75</v>
      </c>
    </row>
    <row r="5" spans="1:13" x14ac:dyDescent="0.4">
      <c r="A5" s="4" t="s">
        <v>76</v>
      </c>
      <c r="B5" s="4" t="s">
        <v>77</v>
      </c>
    </row>
    <row r="6" spans="1:13" x14ac:dyDescent="0.4">
      <c r="A6" s="4" t="s">
        <v>20</v>
      </c>
      <c r="B6" s="4" t="s">
        <v>19</v>
      </c>
    </row>
    <row r="7" spans="1:13" x14ac:dyDescent="0.4">
      <c r="A7" s="4" t="s">
        <v>21</v>
      </c>
      <c r="B7" s="4" t="s">
        <v>22</v>
      </c>
    </row>
    <row r="8" spans="1:13" x14ac:dyDescent="0.4">
      <c r="I8" s="6"/>
      <c r="J8" s="6"/>
      <c r="K8" s="6"/>
      <c r="L8" s="6"/>
      <c r="M8" s="6"/>
    </row>
    <row r="9" spans="1:13" x14ac:dyDescent="0.4">
      <c r="A9" s="5" t="s">
        <v>48</v>
      </c>
      <c r="B9" s="6">
        <v>2015</v>
      </c>
      <c r="C9" s="6">
        <v>2020</v>
      </c>
      <c r="D9" s="6">
        <v>2025</v>
      </c>
      <c r="I9" s="7"/>
      <c r="J9" s="7"/>
      <c r="K9" s="7"/>
      <c r="L9" s="7"/>
      <c r="M9" s="7"/>
    </row>
    <row r="10" spans="1:13" x14ac:dyDescent="0.4">
      <c r="A10" s="4" t="s">
        <v>29</v>
      </c>
      <c r="B10" s="7">
        <v>97900</v>
      </c>
      <c r="C10" s="7">
        <v>98635</v>
      </c>
      <c r="D10" s="7">
        <v>90260</v>
      </c>
      <c r="I10" s="7"/>
      <c r="J10" s="7"/>
      <c r="K10" s="7"/>
      <c r="L10" s="7"/>
      <c r="M10" s="7"/>
    </row>
    <row r="11" spans="1:13" x14ac:dyDescent="0.4">
      <c r="A11" s="4" t="s">
        <v>30</v>
      </c>
      <c r="B11" s="7">
        <v>645</v>
      </c>
      <c r="C11" s="7">
        <v>700</v>
      </c>
      <c r="D11" s="7">
        <v>650</v>
      </c>
      <c r="I11" s="7"/>
      <c r="J11" s="7"/>
      <c r="K11" s="7"/>
      <c r="L11" s="7"/>
      <c r="M11" s="7"/>
    </row>
    <row r="12" spans="1:13" x14ac:dyDescent="0.4">
      <c r="A12" s="4" t="s">
        <v>31</v>
      </c>
      <c r="B12" s="7">
        <v>99840</v>
      </c>
      <c r="C12" s="7">
        <v>103805</v>
      </c>
      <c r="D12" s="7">
        <v>97325</v>
      </c>
      <c r="I12" s="7"/>
      <c r="J12" s="7"/>
      <c r="K12" s="7"/>
      <c r="L12" s="7"/>
      <c r="M12" s="7"/>
    </row>
    <row r="13" spans="1:13" x14ac:dyDescent="0.4">
      <c r="A13" s="4" t="s">
        <v>32</v>
      </c>
      <c r="B13" s="7">
        <v>1910</v>
      </c>
      <c r="C13" s="7">
        <v>2550</v>
      </c>
      <c r="D13" s="7">
        <v>3230</v>
      </c>
      <c r="I13" s="7"/>
      <c r="J13" s="7"/>
      <c r="K13" s="7"/>
      <c r="L13" s="7"/>
      <c r="M13" s="7"/>
    </row>
    <row r="14" spans="1:13" x14ac:dyDescent="0.4">
      <c r="A14" s="4" t="s">
        <v>33</v>
      </c>
      <c r="B14" s="7">
        <v>5335</v>
      </c>
      <c r="C14" s="7">
        <v>6005</v>
      </c>
      <c r="D14" s="7">
        <v>6590</v>
      </c>
      <c r="I14" s="7"/>
      <c r="J14" s="7"/>
      <c r="K14" s="7"/>
      <c r="L14" s="7"/>
      <c r="M14" s="7"/>
    </row>
    <row r="15" spans="1:13" x14ac:dyDescent="0.4">
      <c r="A15" s="4" t="s">
        <v>34</v>
      </c>
      <c r="B15" s="7">
        <v>205725</v>
      </c>
      <c r="C15" s="7">
        <v>248795</v>
      </c>
      <c r="D15" s="7">
        <v>273800</v>
      </c>
      <c r="I15" s="7"/>
      <c r="J15" s="7"/>
      <c r="K15" s="7"/>
      <c r="L15" s="7"/>
      <c r="M15" s="7"/>
    </row>
    <row r="16" spans="1:13" x14ac:dyDescent="0.4">
      <c r="A16" s="4" t="s">
        <v>35</v>
      </c>
      <c r="B16" s="7">
        <v>260875</v>
      </c>
      <c r="C16" s="7">
        <v>270935</v>
      </c>
      <c r="D16" s="7">
        <v>273410</v>
      </c>
      <c r="I16" s="7"/>
      <c r="J16" s="7"/>
      <c r="K16" s="7"/>
      <c r="L16" s="7"/>
      <c r="M16" s="7"/>
    </row>
    <row r="17" spans="1:13" x14ac:dyDescent="0.4">
      <c r="A17" s="4" t="s">
        <v>36</v>
      </c>
      <c r="B17" s="7">
        <v>62820</v>
      </c>
      <c r="C17" s="7">
        <v>93920</v>
      </c>
      <c r="D17" s="7">
        <v>83795</v>
      </c>
      <c r="I17" s="7"/>
      <c r="J17" s="7"/>
      <c r="K17" s="7"/>
      <c r="L17" s="7"/>
      <c r="M17" s="7"/>
    </row>
    <row r="18" spans="1:13" x14ac:dyDescent="0.4">
      <c r="A18" s="4" t="s">
        <v>37</v>
      </c>
      <c r="B18" s="7">
        <v>99665</v>
      </c>
      <c r="C18" s="7">
        <v>109795</v>
      </c>
      <c r="D18" s="7">
        <v>118505</v>
      </c>
      <c r="I18" s="7"/>
      <c r="J18" s="7"/>
      <c r="K18" s="7"/>
      <c r="L18" s="7"/>
      <c r="M18" s="7"/>
    </row>
    <row r="19" spans="1:13" x14ac:dyDescent="0.4">
      <c r="A19" s="4" t="s">
        <v>38</v>
      </c>
      <c r="B19" s="7">
        <v>119320</v>
      </c>
      <c r="C19" s="7">
        <v>136035</v>
      </c>
      <c r="D19" s="7">
        <v>111740</v>
      </c>
      <c r="I19" s="7"/>
      <c r="J19" s="7"/>
      <c r="K19" s="7"/>
      <c r="L19" s="7"/>
      <c r="M19" s="7"/>
    </row>
    <row r="20" spans="1:13" x14ac:dyDescent="0.4">
      <c r="A20" s="4" t="s">
        <v>39</v>
      </c>
      <c r="B20" s="7">
        <v>31280</v>
      </c>
      <c r="C20" s="7">
        <v>39675</v>
      </c>
      <c r="D20" s="7">
        <v>35100</v>
      </c>
      <c r="I20" s="7"/>
      <c r="J20" s="7"/>
      <c r="K20" s="7"/>
      <c r="L20" s="7"/>
      <c r="M20" s="7"/>
    </row>
    <row r="21" spans="1:13" x14ac:dyDescent="0.4">
      <c r="A21" s="4" t="s">
        <v>40</v>
      </c>
      <c r="B21" s="7">
        <v>57065</v>
      </c>
      <c r="C21" s="7">
        <v>65700</v>
      </c>
      <c r="D21" s="7">
        <v>78270</v>
      </c>
      <c r="I21" s="7"/>
      <c r="J21" s="7"/>
      <c r="K21" s="7"/>
      <c r="L21" s="7"/>
      <c r="M21" s="7"/>
    </row>
    <row r="22" spans="1:13" x14ac:dyDescent="0.4">
      <c r="A22" s="4" t="s">
        <v>41</v>
      </c>
      <c r="B22" s="7">
        <v>281210</v>
      </c>
      <c r="C22" s="7">
        <v>298150</v>
      </c>
      <c r="D22" s="7">
        <v>269260</v>
      </c>
      <c r="I22" s="7"/>
      <c r="J22" s="7"/>
      <c r="K22" s="7"/>
      <c r="L22" s="7"/>
      <c r="M22" s="7"/>
    </row>
    <row r="23" spans="1:13" x14ac:dyDescent="0.4">
      <c r="A23" s="4" t="s">
        <v>42</v>
      </c>
      <c r="B23" s="7">
        <v>130400</v>
      </c>
      <c r="C23" s="7">
        <v>159425</v>
      </c>
      <c r="D23" s="7">
        <v>149570</v>
      </c>
      <c r="I23" s="7"/>
      <c r="J23" s="7"/>
      <c r="K23" s="7"/>
      <c r="L23" s="7"/>
      <c r="M23" s="7"/>
    </row>
    <row r="24" spans="1:13" x14ac:dyDescent="0.4">
      <c r="A24" s="4" t="s">
        <v>43</v>
      </c>
      <c r="B24" s="7">
        <v>20</v>
      </c>
      <c r="C24" s="7">
        <v>15</v>
      </c>
      <c r="D24" s="7">
        <v>45</v>
      </c>
      <c r="I24" s="7"/>
      <c r="J24" s="7"/>
      <c r="K24" s="7"/>
      <c r="L24" s="7"/>
      <c r="M24" s="7"/>
    </row>
    <row r="25" spans="1:13" x14ac:dyDescent="0.4">
      <c r="A25" s="4" t="s">
        <v>44</v>
      </c>
      <c r="B25" s="7">
        <v>26270</v>
      </c>
      <c r="C25" s="7">
        <v>29030</v>
      </c>
      <c r="D25" s="7">
        <v>31120</v>
      </c>
    </row>
    <row r="26" spans="1:13" x14ac:dyDescent="0.4">
      <c r="A26" s="4" t="s">
        <v>45</v>
      </c>
      <c r="B26" s="7">
        <v>71760</v>
      </c>
      <c r="C26" s="7">
        <v>70765</v>
      </c>
      <c r="D26" s="7">
        <v>80270</v>
      </c>
    </row>
    <row r="27" spans="1:13" x14ac:dyDescent="0.4">
      <c r="A27" s="4" t="s">
        <v>46</v>
      </c>
      <c r="B27" s="7">
        <v>37475</v>
      </c>
      <c r="C27" s="7">
        <v>42920</v>
      </c>
      <c r="D27" s="7">
        <v>47645</v>
      </c>
    </row>
    <row r="28" spans="1:13" x14ac:dyDescent="0.4">
      <c r="A28" s="4" t="s">
        <v>47</v>
      </c>
      <c r="B28" s="7">
        <v>71790</v>
      </c>
      <c r="C28" s="7">
        <v>72280</v>
      </c>
      <c r="D28" s="7">
        <v>77235</v>
      </c>
    </row>
    <row r="29" spans="1:13" x14ac:dyDescent="0.4">
      <c r="A29" s="4" t="s">
        <v>78</v>
      </c>
      <c r="B29" s="9">
        <v>1661310</v>
      </c>
      <c r="C29" s="9">
        <v>1849135</v>
      </c>
      <c r="D29" s="9">
        <v>1827825</v>
      </c>
    </row>
    <row r="31" spans="1:13" x14ac:dyDescent="0.4">
      <c r="A31" s="3" t="s">
        <v>23</v>
      </c>
    </row>
    <row r="32" spans="1:13" x14ac:dyDescent="0.4">
      <c r="A32" s="3" t="s">
        <v>24</v>
      </c>
    </row>
    <row r="35" spans="1:13" x14ac:dyDescent="0.4">
      <c r="A35" s="2" t="s">
        <v>17</v>
      </c>
    </row>
    <row r="36" spans="1:13" x14ac:dyDescent="0.4">
      <c r="A36" s="3" t="s">
        <v>73</v>
      </c>
    </row>
    <row r="38" spans="1:13" x14ac:dyDescent="0.4">
      <c r="A38" s="4" t="s">
        <v>74</v>
      </c>
      <c r="B38" s="4" t="s">
        <v>75</v>
      </c>
      <c r="I38" s="6"/>
      <c r="J38" s="6"/>
      <c r="K38" s="6"/>
      <c r="L38" s="6"/>
      <c r="M38" s="6"/>
    </row>
    <row r="39" spans="1:13" x14ac:dyDescent="0.4">
      <c r="A39" s="4" t="s">
        <v>76</v>
      </c>
      <c r="B39" s="4" t="s">
        <v>65</v>
      </c>
      <c r="I39" s="7"/>
      <c r="J39" s="7"/>
      <c r="K39" s="7"/>
      <c r="L39" s="7"/>
      <c r="M39" s="7"/>
    </row>
    <row r="40" spans="1:13" x14ac:dyDescent="0.4">
      <c r="A40" s="4" t="s">
        <v>20</v>
      </c>
      <c r="B40" s="4" t="s">
        <v>19</v>
      </c>
      <c r="I40" s="7"/>
      <c r="J40" s="7"/>
      <c r="K40" s="7"/>
      <c r="L40" s="7"/>
      <c r="M40" s="7"/>
    </row>
    <row r="41" spans="1:13" x14ac:dyDescent="0.4">
      <c r="A41" s="4" t="s">
        <v>21</v>
      </c>
      <c r="B41" s="4" t="s">
        <v>22</v>
      </c>
      <c r="I41" s="7"/>
      <c r="J41" s="7"/>
      <c r="K41" s="7"/>
      <c r="L41" s="7"/>
      <c r="M41" s="7"/>
    </row>
    <row r="42" spans="1:13" x14ac:dyDescent="0.4">
      <c r="I42" s="7"/>
      <c r="J42" s="7"/>
      <c r="K42" s="7"/>
      <c r="L42" s="7"/>
      <c r="M42" s="7"/>
    </row>
    <row r="43" spans="1:13" x14ac:dyDescent="0.4">
      <c r="A43" s="5" t="s">
        <v>48</v>
      </c>
      <c r="B43" s="6">
        <v>2015</v>
      </c>
      <c r="C43" s="6">
        <v>2020</v>
      </c>
      <c r="D43" s="6">
        <v>2025</v>
      </c>
      <c r="I43" s="7"/>
      <c r="J43" s="7"/>
      <c r="K43" s="7"/>
      <c r="L43" s="7"/>
      <c r="M43" s="7"/>
    </row>
    <row r="44" spans="1:13" x14ac:dyDescent="0.4">
      <c r="A44" s="4" t="s">
        <v>29</v>
      </c>
      <c r="B44" s="7">
        <v>5735</v>
      </c>
      <c r="C44" s="7">
        <v>5760</v>
      </c>
      <c r="D44" s="7">
        <v>5245</v>
      </c>
      <c r="I44" s="7"/>
      <c r="J44" s="7"/>
      <c r="K44" s="7"/>
      <c r="L44" s="7"/>
      <c r="M44" s="7"/>
    </row>
    <row r="45" spans="1:13" x14ac:dyDescent="0.4">
      <c r="A45" s="4" t="s">
        <v>30</v>
      </c>
      <c r="B45" s="7">
        <v>30</v>
      </c>
      <c r="C45" s="7">
        <v>25</v>
      </c>
      <c r="D45" s="7">
        <v>25</v>
      </c>
      <c r="I45" s="7"/>
      <c r="J45" s="7"/>
      <c r="K45" s="7"/>
      <c r="L45" s="7"/>
      <c r="M45" s="7"/>
    </row>
    <row r="46" spans="1:13" x14ac:dyDescent="0.4">
      <c r="A46" s="4" t="s">
        <v>31</v>
      </c>
      <c r="B46" s="7">
        <v>5050</v>
      </c>
      <c r="C46" s="7">
        <v>5270</v>
      </c>
      <c r="D46" s="7">
        <v>4905</v>
      </c>
      <c r="I46" s="7"/>
      <c r="J46" s="7"/>
      <c r="K46" s="7"/>
      <c r="L46" s="7"/>
      <c r="M46" s="7"/>
    </row>
    <row r="47" spans="1:13" x14ac:dyDescent="0.4">
      <c r="A47" s="4" t="s">
        <v>32</v>
      </c>
      <c r="B47" s="7">
        <v>175</v>
      </c>
      <c r="C47" s="7">
        <v>210</v>
      </c>
      <c r="D47" s="7">
        <v>295</v>
      </c>
      <c r="I47" s="7"/>
      <c r="J47" s="7"/>
      <c r="K47" s="7"/>
      <c r="L47" s="7"/>
      <c r="M47" s="7"/>
    </row>
    <row r="48" spans="1:13" x14ac:dyDescent="0.4">
      <c r="A48" s="4" t="s">
        <v>33</v>
      </c>
      <c r="B48" s="7">
        <v>265</v>
      </c>
      <c r="C48" s="7">
        <v>275</v>
      </c>
      <c r="D48" s="7">
        <v>290</v>
      </c>
      <c r="I48" s="7"/>
      <c r="J48" s="7"/>
      <c r="K48" s="7"/>
      <c r="L48" s="7"/>
      <c r="M48" s="7"/>
    </row>
    <row r="49" spans="1:13" x14ac:dyDescent="0.4">
      <c r="A49" s="4" t="s">
        <v>34</v>
      </c>
      <c r="B49" s="7">
        <v>11625</v>
      </c>
      <c r="C49" s="7">
        <v>13730</v>
      </c>
      <c r="D49" s="7">
        <v>14870</v>
      </c>
      <c r="I49" s="7"/>
      <c r="J49" s="7"/>
      <c r="K49" s="7"/>
      <c r="L49" s="7"/>
      <c r="M49" s="7"/>
    </row>
    <row r="50" spans="1:13" x14ac:dyDescent="0.4">
      <c r="A50" s="4" t="s">
        <v>35</v>
      </c>
      <c r="B50" s="7">
        <v>13165</v>
      </c>
      <c r="C50" s="7">
        <v>12645</v>
      </c>
      <c r="D50" s="7">
        <v>12980</v>
      </c>
      <c r="I50" s="7"/>
      <c r="J50" s="7"/>
      <c r="K50" s="7"/>
      <c r="L50" s="7"/>
      <c r="M50" s="7"/>
    </row>
    <row r="51" spans="1:13" x14ac:dyDescent="0.4">
      <c r="A51" s="4" t="s">
        <v>36</v>
      </c>
      <c r="B51" s="7">
        <v>3175</v>
      </c>
      <c r="C51" s="7">
        <v>4490</v>
      </c>
      <c r="D51" s="7">
        <v>4130</v>
      </c>
      <c r="I51" s="7"/>
      <c r="J51" s="7"/>
      <c r="K51" s="7"/>
      <c r="L51" s="7"/>
      <c r="M51" s="7"/>
    </row>
    <row r="52" spans="1:13" x14ac:dyDescent="0.4">
      <c r="A52" s="4" t="s">
        <v>37</v>
      </c>
      <c r="B52" s="7">
        <v>5375</v>
      </c>
      <c r="C52" s="7">
        <v>5820</v>
      </c>
      <c r="D52" s="7">
        <v>6385</v>
      </c>
      <c r="I52" s="7"/>
      <c r="J52" s="7"/>
      <c r="K52" s="7"/>
      <c r="L52" s="7"/>
      <c r="M52" s="7"/>
    </row>
    <row r="53" spans="1:13" x14ac:dyDescent="0.4">
      <c r="A53" s="4" t="s">
        <v>38</v>
      </c>
      <c r="B53" s="7">
        <v>8975</v>
      </c>
      <c r="C53" s="7">
        <v>9985</v>
      </c>
      <c r="D53" s="7">
        <v>7755</v>
      </c>
      <c r="I53" s="7"/>
      <c r="J53" s="7"/>
      <c r="K53" s="7"/>
      <c r="L53" s="7"/>
      <c r="M53" s="7"/>
    </row>
    <row r="54" spans="1:13" x14ac:dyDescent="0.4">
      <c r="A54" s="4" t="s">
        <v>39</v>
      </c>
      <c r="B54" s="7">
        <v>1995</v>
      </c>
      <c r="C54" s="7">
        <v>2580</v>
      </c>
      <c r="D54" s="7">
        <v>2180</v>
      </c>
      <c r="I54" s="7"/>
      <c r="J54" s="7"/>
      <c r="K54" s="7"/>
      <c r="L54" s="7"/>
      <c r="M54" s="7"/>
    </row>
    <row r="55" spans="1:13" x14ac:dyDescent="0.4">
      <c r="A55" s="4" t="s">
        <v>40</v>
      </c>
      <c r="B55" s="7">
        <v>3295</v>
      </c>
      <c r="C55" s="7">
        <v>3715</v>
      </c>
      <c r="D55" s="7">
        <v>4380</v>
      </c>
    </row>
    <row r="56" spans="1:13" x14ac:dyDescent="0.4">
      <c r="A56" s="4" t="s">
        <v>41</v>
      </c>
      <c r="B56" s="7">
        <v>18545</v>
      </c>
      <c r="C56" s="7">
        <v>19525</v>
      </c>
      <c r="D56" s="7">
        <v>16860</v>
      </c>
    </row>
    <row r="57" spans="1:13" x14ac:dyDescent="0.4">
      <c r="A57" s="4" t="s">
        <v>42</v>
      </c>
      <c r="B57" s="7">
        <v>7695</v>
      </c>
      <c r="C57" s="7">
        <v>8750</v>
      </c>
      <c r="D57" s="7">
        <v>8390</v>
      </c>
    </row>
    <row r="58" spans="1:13" x14ac:dyDescent="0.4">
      <c r="A58" s="4" t="s">
        <v>43</v>
      </c>
      <c r="B58" s="7">
        <v>0</v>
      </c>
      <c r="C58" s="7">
        <v>0</v>
      </c>
      <c r="D58" s="7">
        <v>0</v>
      </c>
    </row>
    <row r="59" spans="1:13" x14ac:dyDescent="0.4">
      <c r="A59" s="4" t="s">
        <v>44</v>
      </c>
      <c r="B59" s="7">
        <v>1630</v>
      </c>
      <c r="C59" s="7">
        <v>1745</v>
      </c>
      <c r="D59" s="7">
        <v>1825</v>
      </c>
    </row>
    <row r="60" spans="1:13" x14ac:dyDescent="0.4">
      <c r="A60" s="4" t="s">
        <v>45</v>
      </c>
      <c r="B60" s="7">
        <v>3980</v>
      </c>
      <c r="C60" s="7">
        <v>4000</v>
      </c>
      <c r="D60" s="7">
        <v>4260</v>
      </c>
    </row>
    <row r="61" spans="1:13" x14ac:dyDescent="0.4">
      <c r="A61" s="4" t="s">
        <v>46</v>
      </c>
      <c r="B61" s="7">
        <v>2745</v>
      </c>
      <c r="C61" s="7">
        <v>2940</v>
      </c>
      <c r="D61" s="7">
        <v>3150</v>
      </c>
    </row>
    <row r="62" spans="1:13" x14ac:dyDescent="0.4">
      <c r="A62" s="4" t="s">
        <v>47</v>
      </c>
      <c r="B62" s="7">
        <v>3765</v>
      </c>
      <c r="C62" s="7">
        <v>3740</v>
      </c>
      <c r="D62" s="7">
        <v>4015</v>
      </c>
    </row>
    <row r="63" spans="1:13" x14ac:dyDescent="0.4">
      <c r="A63" s="4" t="s">
        <v>78</v>
      </c>
      <c r="B63" s="9">
        <v>97230</v>
      </c>
      <c r="C63" s="9">
        <v>105195</v>
      </c>
      <c r="D63" s="9">
        <v>101945</v>
      </c>
    </row>
    <row r="65" spans="1:13" x14ac:dyDescent="0.4">
      <c r="A65" s="3" t="s">
        <v>23</v>
      </c>
    </row>
    <row r="66" spans="1:13" x14ac:dyDescent="0.4">
      <c r="A66" s="3" t="s">
        <v>24</v>
      </c>
    </row>
    <row r="68" spans="1:13" x14ac:dyDescent="0.4">
      <c r="A68" s="5"/>
      <c r="B68" s="6"/>
      <c r="C68" s="6"/>
      <c r="D68" s="6"/>
      <c r="E68" s="6"/>
      <c r="F68" s="6"/>
      <c r="G68" s="6"/>
      <c r="H68" s="6"/>
      <c r="I68" s="6"/>
      <c r="J68" s="6"/>
      <c r="K68" s="6"/>
      <c r="L68" s="6"/>
      <c r="M68" s="6"/>
    </row>
    <row r="69" spans="1:13" x14ac:dyDescent="0.4">
      <c r="A69" s="4"/>
      <c r="B69" s="7"/>
      <c r="C69" s="7"/>
      <c r="D69" s="7"/>
      <c r="E69" s="7"/>
      <c r="F69" s="7"/>
      <c r="G69" s="7"/>
      <c r="H69" s="7"/>
      <c r="I69" s="7"/>
      <c r="J69" s="7"/>
      <c r="K69" s="7"/>
      <c r="L69" s="7"/>
      <c r="M69" s="7"/>
    </row>
    <row r="70" spans="1:13" x14ac:dyDescent="0.4">
      <c r="A70" s="4"/>
      <c r="B70" s="7"/>
      <c r="C70" s="7"/>
      <c r="D70" s="7"/>
      <c r="E70" s="7"/>
      <c r="F70" s="7"/>
      <c r="G70" s="7"/>
      <c r="H70" s="7"/>
      <c r="I70" s="7"/>
      <c r="J70" s="7"/>
      <c r="K70" s="7"/>
      <c r="L70" s="7"/>
      <c r="M70" s="7"/>
    </row>
    <row r="71" spans="1:13" x14ac:dyDescent="0.4">
      <c r="A71" s="4"/>
      <c r="B71" s="7"/>
      <c r="C71" s="7"/>
      <c r="D71" s="7"/>
      <c r="E71" s="7"/>
      <c r="F71" s="7"/>
      <c r="G71" s="7"/>
      <c r="H71" s="7"/>
      <c r="I71" s="7"/>
      <c r="J71" s="7"/>
      <c r="K71" s="7"/>
      <c r="L71" s="7"/>
      <c r="M71" s="7"/>
    </row>
    <row r="72" spans="1:13" x14ac:dyDescent="0.4">
      <c r="A72" s="4"/>
      <c r="B72" s="7"/>
      <c r="C72" s="7"/>
      <c r="D72" s="7"/>
      <c r="E72" s="7"/>
      <c r="F72" s="7"/>
      <c r="G72" s="7"/>
      <c r="H72" s="7"/>
      <c r="I72" s="7"/>
      <c r="J72" s="7"/>
      <c r="K72" s="7"/>
      <c r="L72" s="7"/>
      <c r="M72" s="7"/>
    </row>
    <row r="73" spans="1:13" x14ac:dyDescent="0.4">
      <c r="A73" s="4"/>
      <c r="B73" s="7"/>
      <c r="C73" s="7"/>
      <c r="D73" s="7"/>
      <c r="E73" s="7"/>
      <c r="F73" s="7"/>
      <c r="G73" s="7"/>
      <c r="H73" s="7"/>
      <c r="I73" s="7"/>
      <c r="J73" s="7"/>
      <c r="K73" s="7"/>
      <c r="L73" s="7"/>
      <c r="M73" s="7"/>
    </row>
    <row r="74" spans="1:13" x14ac:dyDescent="0.4">
      <c r="A74" s="4"/>
      <c r="B74" s="7"/>
      <c r="C74" s="7"/>
      <c r="D74" s="7"/>
      <c r="E74" s="7"/>
      <c r="F74" s="7"/>
      <c r="G74" s="7"/>
      <c r="H74" s="7"/>
      <c r="I74" s="7"/>
      <c r="J74" s="7"/>
      <c r="K74" s="7"/>
      <c r="L74" s="7"/>
      <c r="M74" s="7"/>
    </row>
    <row r="75" spans="1:13" x14ac:dyDescent="0.4">
      <c r="A75" s="4"/>
      <c r="B75" s="7"/>
      <c r="C75" s="7"/>
      <c r="D75" s="7"/>
      <c r="E75" s="7"/>
      <c r="F75" s="7"/>
      <c r="G75" s="7"/>
      <c r="H75" s="7"/>
      <c r="I75" s="7"/>
      <c r="J75" s="7"/>
      <c r="K75" s="7"/>
      <c r="L75" s="7"/>
      <c r="M75" s="7"/>
    </row>
    <row r="76" spans="1:13" x14ac:dyDescent="0.4">
      <c r="A76" s="4"/>
      <c r="B76" s="7"/>
      <c r="C76" s="7"/>
      <c r="D76" s="7"/>
      <c r="E76" s="7"/>
      <c r="F76" s="7"/>
      <c r="G76" s="7"/>
      <c r="H76" s="7"/>
      <c r="I76" s="7"/>
      <c r="J76" s="7"/>
      <c r="K76" s="7"/>
      <c r="L76" s="7"/>
      <c r="M76" s="7"/>
    </row>
    <row r="77" spans="1:13" x14ac:dyDescent="0.4">
      <c r="A77" s="4"/>
      <c r="B77" s="7"/>
      <c r="C77" s="7"/>
      <c r="D77" s="7"/>
      <c r="E77" s="7"/>
      <c r="F77" s="7"/>
      <c r="G77" s="7"/>
      <c r="H77" s="7"/>
      <c r="I77" s="7"/>
      <c r="J77" s="7"/>
      <c r="K77" s="7"/>
      <c r="L77" s="7"/>
      <c r="M77" s="7"/>
    </row>
    <row r="78" spans="1:13" x14ac:dyDescent="0.4">
      <c r="A78" s="4"/>
      <c r="B78" s="7"/>
      <c r="C78" s="7"/>
      <c r="D78" s="7"/>
      <c r="E78" s="7"/>
      <c r="F78" s="7"/>
      <c r="G78" s="7"/>
      <c r="H78" s="7"/>
      <c r="I78" s="7"/>
      <c r="J78" s="7"/>
      <c r="K78" s="7"/>
      <c r="L78" s="7"/>
      <c r="M78" s="7"/>
    </row>
    <row r="79" spans="1:13" x14ac:dyDescent="0.4">
      <c r="A79" s="4"/>
      <c r="B79" s="7"/>
      <c r="C79" s="7"/>
      <c r="D79" s="7"/>
      <c r="E79" s="7"/>
      <c r="F79" s="7"/>
      <c r="G79" s="7"/>
      <c r="H79" s="7"/>
      <c r="I79" s="7"/>
      <c r="J79" s="7"/>
      <c r="K79" s="7"/>
      <c r="L79" s="7"/>
      <c r="M79" s="7"/>
    </row>
    <row r="80" spans="1:13" x14ac:dyDescent="0.4">
      <c r="A80" s="4"/>
      <c r="B80" s="7"/>
      <c r="C80" s="7"/>
      <c r="D80" s="7"/>
      <c r="E80" s="7"/>
      <c r="F80" s="7"/>
      <c r="G80" s="7"/>
      <c r="H80" s="7"/>
      <c r="I80" s="7"/>
      <c r="J80" s="7"/>
      <c r="K80" s="7"/>
      <c r="L80" s="7"/>
      <c r="M80" s="7"/>
    </row>
    <row r="81" spans="1:13" x14ac:dyDescent="0.4">
      <c r="A81" s="4"/>
      <c r="B81" s="7"/>
      <c r="C81" s="7"/>
      <c r="D81" s="7"/>
      <c r="E81" s="7"/>
      <c r="F81" s="7"/>
      <c r="G81" s="7"/>
      <c r="H81" s="7"/>
      <c r="I81" s="7"/>
      <c r="J81" s="7"/>
      <c r="K81" s="7"/>
      <c r="L81" s="7"/>
      <c r="M81" s="7"/>
    </row>
    <row r="82" spans="1:13" x14ac:dyDescent="0.4">
      <c r="A82" s="4"/>
      <c r="B82" s="7"/>
      <c r="C82" s="7"/>
      <c r="D82" s="7"/>
      <c r="E82" s="7"/>
      <c r="F82" s="7"/>
      <c r="G82" s="7"/>
      <c r="H82" s="7"/>
      <c r="I82" s="7"/>
      <c r="J82" s="7"/>
      <c r="K82" s="7"/>
      <c r="L82" s="7"/>
      <c r="M82" s="7"/>
    </row>
    <row r="83" spans="1:13" x14ac:dyDescent="0.4">
      <c r="A83" s="4"/>
      <c r="B83" s="7"/>
      <c r="C83" s="7"/>
      <c r="D83" s="7"/>
      <c r="E83" s="7"/>
      <c r="F83" s="7"/>
      <c r="G83" s="7"/>
      <c r="H83" s="7"/>
      <c r="I83" s="7"/>
      <c r="J83" s="7"/>
      <c r="K83" s="7"/>
      <c r="L83" s="7"/>
      <c r="M83" s="7"/>
    </row>
    <row r="84" spans="1:13" x14ac:dyDescent="0.4">
      <c r="A84" s="4"/>
      <c r="B84" s="7"/>
      <c r="C84" s="7"/>
      <c r="D84" s="7"/>
      <c r="E84" s="7"/>
      <c r="F84" s="7"/>
      <c r="G84" s="7"/>
      <c r="H84" s="7"/>
      <c r="I84" s="7"/>
      <c r="J84" s="7"/>
      <c r="K84" s="7"/>
      <c r="L84" s="7"/>
      <c r="M84" s="7"/>
    </row>
    <row r="86" spans="1:13" x14ac:dyDescent="0.4">
      <c r="A86" s="3"/>
    </row>
    <row r="87" spans="1:13" x14ac:dyDescent="0.4">
      <c r="A87" s="3"/>
    </row>
    <row r="88" spans="1:13" x14ac:dyDescent="0.4">
      <c r="A88" s="3"/>
    </row>
    <row r="91" spans="1:13" x14ac:dyDescent="0.4">
      <c r="A91" s="2"/>
    </row>
    <row r="92" spans="1:13" x14ac:dyDescent="0.4">
      <c r="A92" s="3"/>
    </row>
    <row r="94" spans="1:13" x14ac:dyDescent="0.4">
      <c r="A94" s="4"/>
      <c r="B94" s="4"/>
    </row>
    <row r="95" spans="1:13" x14ac:dyDescent="0.4">
      <c r="A95" s="4"/>
      <c r="B95" s="4"/>
    </row>
    <row r="96" spans="1:13" x14ac:dyDescent="0.4">
      <c r="A96" s="4"/>
      <c r="B96" s="4"/>
    </row>
    <row r="98" spans="1:13" x14ac:dyDescent="0.4">
      <c r="A98" s="5"/>
      <c r="B98" s="6"/>
      <c r="C98" s="6"/>
      <c r="D98" s="6"/>
      <c r="E98" s="6"/>
      <c r="F98" s="6"/>
      <c r="G98" s="6"/>
      <c r="H98" s="6"/>
      <c r="I98" s="6"/>
      <c r="J98" s="6"/>
      <c r="K98" s="6"/>
      <c r="L98" s="6"/>
      <c r="M98" s="6"/>
    </row>
    <row r="99" spans="1:13" x14ac:dyDescent="0.4">
      <c r="A99" s="4"/>
      <c r="B99" s="7"/>
      <c r="C99" s="7"/>
      <c r="D99" s="7"/>
      <c r="E99" s="7"/>
      <c r="F99" s="7"/>
      <c r="G99" s="7"/>
      <c r="H99" s="7"/>
      <c r="I99" s="7"/>
      <c r="J99" s="7"/>
      <c r="K99" s="7"/>
      <c r="L99" s="7"/>
      <c r="M99" s="7"/>
    </row>
    <row r="100" spans="1:13" x14ac:dyDescent="0.4">
      <c r="A100" s="4"/>
      <c r="B100" s="7"/>
      <c r="C100" s="7"/>
      <c r="D100" s="7"/>
      <c r="E100" s="7"/>
      <c r="F100" s="7"/>
      <c r="G100" s="7"/>
      <c r="H100" s="7"/>
      <c r="I100" s="7"/>
      <c r="J100" s="7"/>
      <c r="K100" s="7"/>
      <c r="L100" s="7"/>
      <c r="M100" s="7"/>
    </row>
    <row r="101" spans="1:13" x14ac:dyDescent="0.4">
      <c r="A101" s="4"/>
      <c r="B101" s="7"/>
      <c r="C101" s="7"/>
      <c r="D101" s="7"/>
      <c r="E101" s="7"/>
      <c r="F101" s="7"/>
      <c r="G101" s="7"/>
      <c r="H101" s="7"/>
      <c r="I101" s="7"/>
      <c r="J101" s="7"/>
      <c r="K101" s="7"/>
      <c r="L101" s="7"/>
      <c r="M101" s="7"/>
    </row>
    <row r="102" spans="1:13" x14ac:dyDescent="0.4">
      <c r="A102" s="4"/>
      <c r="B102" s="7"/>
      <c r="C102" s="7"/>
      <c r="D102" s="7"/>
      <c r="E102" s="7"/>
      <c r="F102" s="7"/>
      <c r="G102" s="7"/>
      <c r="H102" s="7"/>
      <c r="I102" s="7"/>
      <c r="J102" s="7"/>
      <c r="K102" s="7"/>
      <c r="L102" s="7"/>
      <c r="M102" s="7"/>
    </row>
    <row r="103" spans="1:13" x14ac:dyDescent="0.4">
      <c r="A103" s="4"/>
      <c r="B103" s="7"/>
      <c r="C103" s="7"/>
      <c r="D103" s="7"/>
      <c r="E103" s="7"/>
      <c r="F103" s="7"/>
      <c r="G103" s="7"/>
      <c r="H103" s="7"/>
      <c r="I103" s="7"/>
      <c r="J103" s="7"/>
      <c r="K103" s="7"/>
      <c r="L103" s="7"/>
      <c r="M103" s="7"/>
    </row>
    <row r="104" spans="1:13" x14ac:dyDescent="0.4">
      <c r="A104" s="4"/>
      <c r="B104" s="7"/>
      <c r="C104" s="7"/>
      <c r="D104" s="7"/>
      <c r="E104" s="7"/>
      <c r="F104" s="7"/>
      <c r="G104" s="7"/>
      <c r="H104" s="7"/>
      <c r="I104" s="7"/>
      <c r="J104" s="7"/>
      <c r="K104" s="7"/>
      <c r="L104" s="7"/>
      <c r="M104" s="7"/>
    </row>
    <row r="105" spans="1:13" x14ac:dyDescent="0.4">
      <c r="A105" s="4"/>
      <c r="B105" s="7"/>
      <c r="C105" s="7"/>
      <c r="D105" s="7"/>
      <c r="E105" s="7"/>
      <c r="F105" s="7"/>
      <c r="G105" s="7"/>
      <c r="H105" s="7"/>
      <c r="I105" s="7"/>
      <c r="J105" s="7"/>
      <c r="K105" s="7"/>
      <c r="L105" s="7"/>
      <c r="M105" s="7"/>
    </row>
    <row r="106" spans="1:13" x14ac:dyDescent="0.4">
      <c r="A106" s="4"/>
      <c r="B106" s="7"/>
      <c r="C106" s="7"/>
      <c r="D106" s="7"/>
      <c r="E106" s="7"/>
      <c r="F106" s="7"/>
      <c r="G106" s="7"/>
      <c r="H106" s="7"/>
      <c r="I106" s="7"/>
      <c r="J106" s="7"/>
      <c r="K106" s="7"/>
      <c r="L106" s="7"/>
      <c r="M106" s="7"/>
    </row>
    <row r="107" spans="1:13" x14ac:dyDescent="0.4">
      <c r="A107" s="4"/>
      <c r="B107" s="7"/>
      <c r="C107" s="7"/>
      <c r="D107" s="7"/>
      <c r="E107" s="7"/>
      <c r="F107" s="7"/>
      <c r="G107" s="7"/>
      <c r="H107" s="7"/>
      <c r="I107" s="7"/>
      <c r="J107" s="7"/>
      <c r="K107" s="7"/>
      <c r="L107" s="7"/>
      <c r="M107" s="7"/>
    </row>
    <row r="108" spans="1:13" x14ac:dyDescent="0.4">
      <c r="A108" s="4"/>
      <c r="B108" s="7"/>
      <c r="C108" s="7"/>
      <c r="D108" s="7"/>
      <c r="E108" s="7"/>
      <c r="F108" s="7"/>
      <c r="G108" s="7"/>
      <c r="H108" s="7"/>
      <c r="I108" s="7"/>
      <c r="J108" s="7"/>
      <c r="K108" s="7"/>
      <c r="L108" s="7"/>
      <c r="M108" s="7"/>
    </row>
    <row r="109" spans="1:13" x14ac:dyDescent="0.4">
      <c r="A109" s="4"/>
      <c r="B109" s="7"/>
      <c r="C109" s="7"/>
      <c r="D109" s="7"/>
      <c r="E109" s="7"/>
      <c r="F109" s="7"/>
      <c r="G109" s="7"/>
      <c r="H109" s="7"/>
      <c r="I109" s="7"/>
      <c r="J109" s="7"/>
      <c r="K109" s="7"/>
      <c r="L109" s="7"/>
      <c r="M109" s="7"/>
    </row>
    <row r="110" spans="1:13" x14ac:dyDescent="0.4">
      <c r="A110" s="4"/>
      <c r="B110" s="7"/>
      <c r="C110" s="7"/>
      <c r="D110" s="7"/>
      <c r="E110" s="7"/>
      <c r="F110" s="7"/>
      <c r="G110" s="7"/>
      <c r="H110" s="7"/>
      <c r="I110" s="7"/>
      <c r="J110" s="7"/>
      <c r="K110" s="7"/>
      <c r="L110" s="7"/>
      <c r="M110" s="7"/>
    </row>
    <row r="111" spans="1:13" x14ac:dyDescent="0.4">
      <c r="A111" s="4"/>
      <c r="B111" s="7"/>
      <c r="C111" s="7"/>
      <c r="D111" s="7"/>
      <c r="E111" s="7"/>
      <c r="F111" s="7"/>
      <c r="G111" s="7"/>
      <c r="H111" s="7"/>
      <c r="I111" s="7"/>
      <c r="J111" s="7"/>
      <c r="K111" s="7"/>
      <c r="L111" s="7"/>
      <c r="M111" s="7"/>
    </row>
    <row r="112" spans="1:13" x14ac:dyDescent="0.4">
      <c r="A112" s="4"/>
      <c r="B112" s="7"/>
      <c r="C112" s="7"/>
      <c r="D112" s="7"/>
      <c r="E112" s="7"/>
      <c r="F112" s="7"/>
      <c r="G112" s="7"/>
      <c r="H112" s="7"/>
      <c r="I112" s="7"/>
      <c r="J112" s="7"/>
      <c r="K112" s="7"/>
      <c r="L112" s="7"/>
      <c r="M112" s="7"/>
    </row>
    <row r="113" spans="1:13" x14ac:dyDescent="0.4">
      <c r="A113" s="4"/>
      <c r="B113" s="7"/>
      <c r="C113" s="7"/>
      <c r="D113" s="7"/>
      <c r="E113" s="7"/>
      <c r="F113" s="7"/>
      <c r="G113" s="7"/>
      <c r="H113" s="7"/>
      <c r="I113" s="7"/>
      <c r="J113" s="7"/>
      <c r="K113" s="7"/>
      <c r="L113" s="7"/>
      <c r="M113" s="7"/>
    </row>
    <row r="114" spans="1:13" x14ac:dyDescent="0.4">
      <c r="A114" s="4"/>
      <c r="B114" s="7"/>
      <c r="C114" s="7"/>
      <c r="D114" s="7"/>
      <c r="E114" s="7"/>
      <c r="F114" s="7"/>
      <c r="G114" s="7"/>
      <c r="H114" s="7"/>
      <c r="I114" s="7"/>
      <c r="J114" s="7"/>
      <c r="K114" s="7"/>
      <c r="L114" s="7"/>
      <c r="M114" s="7"/>
    </row>
    <row r="116" spans="1:13" x14ac:dyDescent="0.4">
      <c r="A116" s="3"/>
    </row>
    <row r="117" spans="1:13" x14ac:dyDescent="0.4">
      <c r="A117" s="3"/>
    </row>
    <row r="118" spans="1:13" x14ac:dyDescent="0.4">
      <c r="A118" s="3"/>
    </row>
    <row r="121" spans="1:13" x14ac:dyDescent="0.4">
      <c r="A121" s="2"/>
    </row>
    <row r="122" spans="1:13" x14ac:dyDescent="0.4">
      <c r="A122" s="3"/>
    </row>
    <row r="124" spans="1:13" x14ac:dyDescent="0.4">
      <c r="A124" s="4"/>
      <c r="B124" s="4"/>
    </row>
    <row r="125" spans="1:13" x14ac:dyDescent="0.4">
      <c r="A125" s="4"/>
      <c r="B125" s="4"/>
    </row>
    <row r="126" spans="1:13" x14ac:dyDescent="0.4">
      <c r="A126" s="4"/>
      <c r="B126" s="4"/>
    </row>
    <row r="128" spans="1:13" x14ac:dyDescent="0.4">
      <c r="A128" s="5"/>
      <c r="B128" s="6"/>
      <c r="C128" s="6"/>
      <c r="D128" s="6"/>
      <c r="E128" s="6"/>
      <c r="F128" s="6"/>
      <c r="G128" s="6"/>
      <c r="H128" s="6"/>
      <c r="I128" s="6"/>
      <c r="J128" s="6"/>
      <c r="K128" s="6"/>
      <c r="L128" s="6"/>
      <c r="M128" s="6"/>
    </row>
    <row r="129" spans="1:13" x14ac:dyDescent="0.4">
      <c r="A129" s="4"/>
      <c r="B129" s="7"/>
      <c r="C129" s="7"/>
      <c r="D129" s="7"/>
      <c r="E129" s="7"/>
      <c r="F129" s="7"/>
      <c r="G129" s="7"/>
      <c r="H129" s="7"/>
      <c r="I129" s="7"/>
      <c r="J129" s="7"/>
      <c r="K129" s="7"/>
      <c r="L129" s="7"/>
      <c r="M129" s="7"/>
    </row>
    <row r="130" spans="1:13" x14ac:dyDescent="0.4">
      <c r="A130" s="4"/>
      <c r="B130" s="7"/>
      <c r="C130" s="7"/>
      <c r="D130" s="7"/>
      <c r="E130" s="7"/>
      <c r="F130" s="7"/>
      <c r="G130" s="7"/>
      <c r="H130" s="7"/>
      <c r="I130" s="7"/>
      <c r="J130" s="7"/>
      <c r="K130" s="7"/>
      <c r="L130" s="7"/>
      <c r="M130" s="7"/>
    </row>
    <row r="131" spans="1:13" x14ac:dyDescent="0.4">
      <c r="A131" s="4"/>
      <c r="B131" s="7"/>
      <c r="C131" s="7"/>
      <c r="D131" s="7"/>
      <c r="E131" s="7"/>
      <c r="F131" s="7"/>
      <c r="G131" s="7"/>
      <c r="H131" s="7"/>
      <c r="I131" s="7"/>
      <c r="J131" s="7"/>
      <c r="K131" s="7"/>
      <c r="L131" s="7"/>
      <c r="M131" s="7"/>
    </row>
    <row r="132" spans="1:13" x14ac:dyDescent="0.4">
      <c r="A132" s="4"/>
      <c r="B132" s="7"/>
      <c r="C132" s="7"/>
      <c r="D132" s="7"/>
      <c r="E132" s="7"/>
      <c r="F132" s="7"/>
      <c r="G132" s="7"/>
      <c r="H132" s="7"/>
      <c r="I132" s="7"/>
      <c r="J132" s="7"/>
      <c r="K132" s="7"/>
      <c r="L132" s="7"/>
      <c r="M132" s="7"/>
    </row>
    <row r="133" spans="1:13" x14ac:dyDescent="0.4">
      <c r="A133" s="4"/>
      <c r="B133" s="7"/>
      <c r="C133" s="7"/>
      <c r="D133" s="7"/>
      <c r="E133" s="7"/>
      <c r="F133" s="7"/>
      <c r="G133" s="7"/>
      <c r="H133" s="7"/>
      <c r="I133" s="7"/>
      <c r="J133" s="7"/>
      <c r="K133" s="7"/>
      <c r="L133" s="7"/>
      <c r="M133" s="7"/>
    </row>
    <row r="134" spans="1:13" x14ac:dyDescent="0.4">
      <c r="A134" s="4"/>
      <c r="B134" s="7"/>
      <c r="C134" s="7"/>
      <c r="D134" s="7"/>
      <c r="E134" s="7"/>
      <c r="F134" s="7"/>
      <c r="G134" s="7"/>
      <c r="H134" s="7"/>
      <c r="I134" s="7"/>
      <c r="J134" s="7"/>
      <c r="K134" s="7"/>
      <c r="L134" s="7"/>
      <c r="M134" s="7"/>
    </row>
    <row r="135" spans="1:13" x14ac:dyDescent="0.4">
      <c r="A135" s="4"/>
      <c r="B135" s="7"/>
      <c r="C135" s="7"/>
      <c r="D135" s="7"/>
      <c r="E135" s="7"/>
      <c r="F135" s="7"/>
      <c r="G135" s="7"/>
      <c r="H135" s="7"/>
      <c r="I135" s="7"/>
      <c r="J135" s="7"/>
      <c r="K135" s="7"/>
      <c r="L135" s="7"/>
      <c r="M135" s="7"/>
    </row>
    <row r="136" spans="1:13" x14ac:dyDescent="0.4">
      <c r="A136" s="4"/>
      <c r="B136" s="7"/>
      <c r="C136" s="7"/>
      <c r="D136" s="7"/>
      <c r="E136" s="7"/>
      <c r="F136" s="7"/>
      <c r="G136" s="7"/>
      <c r="H136" s="7"/>
      <c r="I136" s="7"/>
      <c r="J136" s="7"/>
      <c r="K136" s="7"/>
      <c r="L136" s="7"/>
      <c r="M136" s="7"/>
    </row>
    <row r="137" spans="1:13" x14ac:dyDescent="0.4">
      <c r="A137" s="4"/>
      <c r="B137" s="7"/>
      <c r="C137" s="7"/>
      <c r="D137" s="7"/>
      <c r="E137" s="7"/>
      <c r="F137" s="7"/>
      <c r="G137" s="7"/>
      <c r="H137" s="7"/>
      <c r="I137" s="7"/>
      <c r="J137" s="7"/>
      <c r="K137" s="7"/>
      <c r="L137" s="7"/>
      <c r="M137" s="7"/>
    </row>
    <row r="138" spans="1:13" x14ac:dyDescent="0.4">
      <c r="A138" s="4"/>
      <c r="B138" s="7"/>
      <c r="C138" s="7"/>
      <c r="D138" s="7"/>
      <c r="E138" s="7"/>
      <c r="F138" s="7"/>
      <c r="G138" s="7"/>
      <c r="H138" s="7"/>
      <c r="I138" s="7"/>
      <c r="J138" s="7"/>
      <c r="K138" s="7"/>
      <c r="L138" s="7"/>
      <c r="M138" s="7"/>
    </row>
    <row r="139" spans="1:13" x14ac:dyDescent="0.4">
      <c r="A139" s="4"/>
      <c r="B139" s="7"/>
      <c r="C139" s="7"/>
      <c r="D139" s="7"/>
      <c r="E139" s="7"/>
      <c r="F139" s="7"/>
      <c r="G139" s="7"/>
      <c r="H139" s="7"/>
      <c r="I139" s="7"/>
      <c r="J139" s="7"/>
      <c r="K139" s="7"/>
      <c r="L139" s="7"/>
      <c r="M139" s="7"/>
    </row>
    <row r="140" spans="1:13" x14ac:dyDescent="0.4">
      <c r="A140" s="4"/>
      <c r="B140" s="7"/>
      <c r="C140" s="7"/>
      <c r="D140" s="7"/>
      <c r="E140" s="7"/>
      <c r="F140" s="7"/>
      <c r="G140" s="7"/>
      <c r="H140" s="7"/>
      <c r="I140" s="7"/>
      <c r="J140" s="7"/>
      <c r="K140" s="7"/>
      <c r="L140" s="7"/>
      <c r="M140" s="7"/>
    </row>
    <row r="141" spans="1:13" x14ac:dyDescent="0.4">
      <c r="A141" s="4"/>
      <c r="B141" s="7"/>
      <c r="C141" s="7"/>
      <c r="D141" s="7"/>
      <c r="E141" s="7"/>
      <c r="F141" s="7"/>
      <c r="G141" s="7"/>
      <c r="H141" s="7"/>
      <c r="I141" s="7"/>
      <c r="J141" s="7"/>
      <c r="K141" s="7"/>
      <c r="L141" s="7"/>
      <c r="M141" s="7"/>
    </row>
    <row r="142" spans="1:13" x14ac:dyDescent="0.4">
      <c r="A142" s="4"/>
      <c r="B142" s="7"/>
      <c r="C142" s="7"/>
      <c r="D142" s="7"/>
      <c r="E142" s="7"/>
      <c r="F142" s="7"/>
      <c r="G142" s="7"/>
      <c r="H142" s="7"/>
      <c r="I142" s="7"/>
      <c r="J142" s="7"/>
      <c r="K142" s="7"/>
      <c r="L142" s="7"/>
      <c r="M142" s="7"/>
    </row>
    <row r="143" spans="1:13" x14ac:dyDescent="0.4">
      <c r="A143" s="4"/>
      <c r="B143" s="7"/>
      <c r="C143" s="7"/>
      <c r="D143" s="7"/>
      <c r="E143" s="7"/>
      <c r="F143" s="7"/>
      <c r="G143" s="7"/>
      <c r="H143" s="7"/>
      <c r="I143" s="7"/>
      <c r="J143" s="7"/>
      <c r="K143" s="7"/>
      <c r="L143" s="7"/>
      <c r="M143" s="7"/>
    </row>
    <row r="144" spans="1:13" x14ac:dyDescent="0.4">
      <c r="A144" s="4"/>
      <c r="B144" s="7"/>
      <c r="C144" s="7"/>
      <c r="D144" s="7"/>
      <c r="E144" s="7"/>
      <c r="F144" s="7"/>
      <c r="G144" s="7"/>
      <c r="H144" s="7"/>
      <c r="I144" s="7"/>
      <c r="J144" s="7"/>
      <c r="K144" s="7"/>
      <c r="L144" s="7"/>
      <c r="M144" s="7"/>
    </row>
    <row r="146" spans="1:13" x14ac:dyDescent="0.4">
      <c r="A146" s="3"/>
    </row>
    <row r="147" spans="1:13" x14ac:dyDescent="0.4">
      <c r="A147" s="3"/>
    </row>
    <row r="148" spans="1:13" x14ac:dyDescent="0.4">
      <c r="A148" s="3"/>
    </row>
    <row r="151" spans="1:13" x14ac:dyDescent="0.4">
      <c r="A151" s="2"/>
    </row>
    <row r="152" spans="1:13" x14ac:dyDescent="0.4">
      <c r="A152" s="3"/>
    </row>
    <row r="154" spans="1:13" x14ac:dyDescent="0.4">
      <c r="A154" s="4"/>
      <c r="B154" s="4"/>
    </row>
    <row r="155" spans="1:13" x14ac:dyDescent="0.4">
      <c r="A155" s="4"/>
      <c r="B155" s="4"/>
    </row>
    <row r="156" spans="1:13" x14ac:dyDescent="0.4">
      <c r="A156" s="4"/>
      <c r="B156" s="4"/>
    </row>
    <row r="158" spans="1:13" x14ac:dyDescent="0.4">
      <c r="A158" s="5"/>
      <c r="B158" s="6"/>
      <c r="C158" s="6"/>
      <c r="D158" s="6"/>
      <c r="E158" s="6"/>
      <c r="F158" s="6"/>
      <c r="G158" s="6"/>
      <c r="H158" s="6"/>
      <c r="I158" s="6"/>
      <c r="J158" s="6"/>
      <c r="K158" s="6"/>
      <c r="L158" s="6"/>
      <c r="M158" s="6"/>
    </row>
    <row r="159" spans="1:13" x14ac:dyDescent="0.4">
      <c r="A159" s="4"/>
      <c r="B159" s="7"/>
      <c r="C159" s="7"/>
      <c r="D159" s="7"/>
      <c r="E159" s="7"/>
      <c r="F159" s="7"/>
      <c r="G159" s="7"/>
      <c r="H159" s="7"/>
      <c r="I159" s="7"/>
      <c r="J159" s="7"/>
      <c r="K159" s="7"/>
      <c r="L159" s="7"/>
      <c r="M159" s="7"/>
    </row>
    <row r="160" spans="1:13" x14ac:dyDescent="0.4">
      <c r="A160" s="4"/>
      <c r="B160" s="7"/>
      <c r="C160" s="7"/>
      <c r="D160" s="7"/>
      <c r="E160" s="7"/>
      <c r="F160" s="7"/>
      <c r="G160" s="7"/>
      <c r="H160" s="7"/>
      <c r="I160" s="7"/>
      <c r="J160" s="7"/>
      <c r="K160" s="7"/>
      <c r="L160" s="7"/>
      <c r="M160" s="7"/>
    </row>
    <row r="161" spans="1:13" x14ac:dyDescent="0.4">
      <c r="A161" s="4"/>
      <c r="B161" s="7"/>
      <c r="C161" s="7"/>
      <c r="D161" s="7"/>
      <c r="E161" s="7"/>
      <c r="F161" s="7"/>
      <c r="G161" s="7"/>
      <c r="H161" s="7"/>
      <c r="I161" s="7"/>
      <c r="J161" s="7"/>
      <c r="K161" s="7"/>
      <c r="L161" s="7"/>
      <c r="M161" s="7"/>
    </row>
    <row r="162" spans="1:13" x14ac:dyDescent="0.4">
      <c r="A162" s="4"/>
      <c r="B162" s="7"/>
      <c r="C162" s="7"/>
      <c r="D162" s="7"/>
      <c r="E162" s="7"/>
      <c r="F162" s="7"/>
      <c r="G162" s="7"/>
      <c r="H162" s="7"/>
      <c r="I162" s="7"/>
      <c r="J162" s="7"/>
      <c r="K162" s="7"/>
      <c r="L162" s="7"/>
      <c r="M162" s="7"/>
    </row>
    <row r="163" spans="1:13" x14ac:dyDescent="0.4">
      <c r="A163" s="4"/>
      <c r="B163" s="7"/>
      <c r="C163" s="7"/>
      <c r="D163" s="7"/>
      <c r="E163" s="7"/>
      <c r="F163" s="7"/>
      <c r="G163" s="7"/>
      <c r="H163" s="7"/>
      <c r="I163" s="7"/>
      <c r="J163" s="7"/>
      <c r="K163" s="7"/>
      <c r="L163" s="7"/>
      <c r="M163" s="7"/>
    </row>
    <row r="164" spans="1:13" x14ac:dyDescent="0.4">
      <c r="A164" s="4"/>
      <c r="B164" s="7"/>
      <c r="C164" s="7"/>
      <c r="D164" s="7"/>
      <c r="E164" s="7"/>
      <c r="F164" s="7"/>
      <c r="G164" s="7"/>
      <c r="H164" s="7"/>
      <c r="I164" s="7"/>
      <c r="J164" s="7"/>
      <c r="K164" s="7"/>
      <c r="L164" s="7"/>
      <c r="M164" s="7"/>
    </row>
    <row r="165" spans="1:13" x14ac:dyDescent="0.4">
      <c r="A165" s="4"/>
      <c r="B165" s="7"/>
      <c r="C165" s="7"/>
      <c r="D165" s="7"/>
      <c r="E165" s="7"/>
      <c r="F165" s="7"/>
      <c r="G165" s="7"/>
      <c r="H165" s="7"/>
      <c r="I165" s="7"/>
      <c r="J165" s="7"/>
      <c r="K165" s="7"/>
      <c r="L165" s="7"/>
      <c r="M165" s="7"/>
    </row>
    <row r="166" spans="1:13" x14ac:dyDescent="0.4">
      <c r="A166" s="4"/>
      <c r="B166" s="7"/>
      <c r="C166" s="7"/>
      <c r="D166" s="7"/>
      <c r="E166" s="7"/>
      <c r="F166" s="7"/>
      <c r="G166" s="7"/>
      <c r="H166" s="7"/>
      <c r="I166" s="7"/>
      <c r="J166" s="7"/>
      <c r="K166" s="7"/>
      <c r="L166" s="7"/>
      <c r="M166" s="7"/>
    </row>
    <row r="167" spans="1:13" x14ac:dyDescent="0.4">
      <c r="A167" s="4"/>
      <c r="B167" s="7"/>
      <c r="C167" s="7"/>
      <c r="D167" s="7"/>
      <c r="E167" s="7"/>
      <c r="F167" s="7"/>
      <c r="G167" s="7"/>
      <c r="H167" s="7"/>
      <c r="I167" s="7"/>
      <c r="J167" s="7"/>
      <c r="K167" s="7"/>
      <c r="L167" s="7"/>
      <c r="M167" s="7"/>
    </row>
    <row r="168" spans="1:13" x14ac:dyDescent="0.4">
      <c r="A168" s="4"/>
      <c r="B168" s="7"/>
      <c r="C168" s="7"/>
      <c r="D168" s="7"/>
      <c r="E168" s="7"/>
      <c r="F168" s="7"/>
      <c r="G168" s="7"/>
      <c r="H168" s="7"/>
      <c r="I168" s="7"/>
      <c r="J168" s="7"/>
      <c r="K168" s="7"/>
      <c r="L168" s="7"/>
      <c r="M168" s="7"/>
    </row>
    <row r="169" spans="1:13" x14ac:dyDescent="0.4">
      <c r="A169" s="4"/>
      <c r="B169" s="7"/>
      <c r="C169" s="7"/>
      <c r="D169" s="7"/>
      <c r="E169" s="7"/>
      <c r="F169" s="7"/>
      <c r="G169" s="7"/>
      <c r="H169" s="7"/>
      <c r="I169" s="7"/>
      <c r="J169" s="7"/>
      <c r="K169" s="7"/>
      <c r="L169" s="7"/>
      <c r="M169" s="7"/>
    </row>
    <row r="170" spans="1:13" x14ac:dyDescent="0.4">
      <c r="A170" s="4"/>
      <c r="B170" s="7"/>
      <c r="C170" s="7"/>
      <c r="D170" s="7"/>
      <c r="E170" s="7"/>
      <c r="F170" s="7"/>
      <c r="G170" s="7"/>
      <c r="H170" s="7"/>
      <c r="I170" s="7"/>
      <c r="J170" s="7"/>
      <c r="K170" s="7"/>
      <c r="L170" s="7"/>
      <c r="M170" s="7"/>
    </row>
    <row r="171" spans="1:13" x14ac:dyDescent="0.4">
      <c r="A171" s="4"/>
      <c r="B171" s="7"/>
      <c r="C171" s="7"/>
      <c r="D171" s="7"/>
      <c r="E171" s="7"/>
      <c r="F171" s="7"/>
      <c r="G171" s="7"/>
      <c r="H171" s="7"/>
      <c r="I171" s="7"/>
      <c r="J171" s="7"/>
      <c r="K171" s="7"/>
      <c r="L171" s="7"/>
      <c r="M171" s="7"/>
    </row>
    <row r="172" spans="1:13" x14ac:dyDescent="0.4">
      <c r="A172" s="4"/>
      <c r="B172" s="7"/>
      <c r="C172" s="7"/>
      <c r="D172" s="7"/>
      <c r="E172" s="7"/>
      <c r="F172" s="7"/>
      <c r="G172" s="7"/>
      <c r="H172" s="7"/>
      <c r="I172" s="7"/>
      <c r="J172" s="7"/>
      <c r="K172" s="7"/>
      <c r="L172" s="7"/>
      <c r="M172" s="7"/>
    </row>
    <row r="173" spans="1:13" x14ac:dyDescent="0.4">
      <c r="A173" s="4"/>
      <c r="B173" s="7"/>
      <c r="C173" s="7"/>
      <c r="D173" s="7"/>
      <c r="E173" s="7"/>
      <c r="F173" s="7"/>
      <c r="G173" s="7"/>
      <c r="H173" s="7"/>
      <c r="I173" s="7"/>
      <c r="J173" s="7"/>
      <c r="K173" s="7"/>
      <c r="L173" s="7"/>
      <c r="M173" s="7"/>
    </row>
    <row r="174" spans="1:13" x14ac:dyDescent="0.4">
      <c r="A174" s="4"/>
      <c r="B174" s="7"/>
      <c r="C174" s="7"/>
      <c r="D174" s="7"/>
      <c r="E174" s="7"/>
      <c r="F174" s="7"/>
      <c r="G174" s="7"/>
      <c r="H174" s="7"/>
      <c r="I174" s="7"/>
      <c r="J174" s="7"/>
      <c r="K174" s="7"/>
      <c r="L174" s="7"/>
      <c r="M174" s="7"/>
    </row>
    <row r="176" spans="1:13" x14ac:dyDescent="0.4">
      <c r="A176" s="3"/>
    </row>
    <row r="177" spans="1:13" x14ac:dyDescent="0.4">
      <c r="A177" s="3"/>
    </row>
    <row r="178" spans="1:13" x14ac:dyDescent="0.4">
      <c r="A178" s="3"/>
    </row>
    <row r="181" spans="1:13" x14ac:dyDescent="0.4">
      <c r="A181" s="2"/>
    </row>
    <row r="182" spans="1:13" x14ac:dyDescent="0.4">
      <c r="A182" s="3"/>
    </row>
    <row r="184" spans="1:13" x14ac:dyDescent="0.4">
      <c r="A184" s="4"/>
      <c r="B184" s="4"/>
    </row>
    <row r="185" spans="1:13" x14ac:dyDescent="0.4">
      <c r="A185" s="4"/>
      <c r="B185" s="4"/>
    </row>
    <row r="186" spans="1:13" x14ac:dyDescent="0.4">
      <c r="A186" s="4"/>
      <c r="B186" s="4"/>
    </row>
    <row r="188" spans="1:13" x14ac:dyDescent="0.4">
      <c r="A188" s="5"/>
      <c r="B188" s="6"/>
      <c r="C188" s="6"/>
      <c r="D188" s="6"/>
      <c r="E188" s="6"/>
      <c r="F188" s="6"/>
      <c r="G188" s="6"/>
      <c r="H188" s="6"/>
      <c r="I188" s="6"/>
      <c r="J188" s="6"/>
      <c r="K188" s="6"/>
      <c r="L188" s="6"/>
      <c r="M188" s="6"/>
    </row>
    <row r="189" spans="1:13" x14ac:dyDescent="0.4">
      <c r="A189" s="4"/>
      <c r="B189" s="7"/>
      <c r="C189" s="7"/>
      <c r="D189" s="7"/>
      <c r="E189" s="7"/>
      <c r="F189" s="7"/>
      <c r="G189" s="7"/>
      <c r="H189" s="7"/>
      <c r="I189" s="7"/>
      <c r="J189" s="7"/>
      <c r="K189" s="7"/>
      <c r="L189" s="7"/>
      <c r="M189" s="7"/>
    </row>
    <row r="190" spans="1:13" x14ac:dyDescent="0.4">
      <c r="A190" s="4"/>
      <c r="B190" s="7"/>
      <c r="C190" s="7"/>
      <c r="D190" s="7"/>
      <c r="E190" s="7"/>
      <c r="F190" s="7"/>
      <c r="G190" s="7"/>
      <c r="H190" s="7"/>
      <c r="I190" s="7"/>
      <c r="J190" s="7"/>
      <c r="K190" s="7"/>
      <c r="L190" s="7"/>
      <c r="M190" s="7"/>
    </row>
    <row r="191" spans="1:13" x14ac:dyDescent="0.4">
      <c r="A191" s="4"/>
      <c r="B191" s="7"/>
      <c r="C191" s="7"/>
      <c r="D191" s="7"/>
      <c r="E191" s="7"/>
      <c r="F191" s="7"/>
      <c r="G191" s="7"/>
      <c r="H191" s="7"/>
      <c r="I191" s="7"/>
      <c r="J191" s="7"/>
      <c r="K191" s="7"/>
      <c r="L191" s="7"/>
      <c r="M191" s="7"/>
    </row>
    <row r="192" spans="1:13" x14ac:dyDescent="0.4">
      <c r="A192" s="4"/>
      <c r="B192" s="7"/>
      <c r="C192" s="7"/>
      <c r="D192" s="7"/>
      <c r="E192" s="7"/>
      <c r="F192" s="7"/>
      <c r="G192" s="7"/>
      <c r="H192" s="7"/>
      <c r="I192" s="7"/>
      <c r="J192" s="7"/>
      <c r="K192" s="7"/>
      <c r="L192" s="7"/>
      <c r="M192" s="7"/>
    </row>
    <row r="193" spans="1:13" x14ac:dyDescent="0.4">
      <c r="A193" s="4"/>
      <c r="B193" s="7"/>
      <c r="C193" s="7"/>
      <c r="D193" s="7"/>
      <c r="E193" s="7"/>
      <c r="F193" s="7"/>
      <c r="G193" s="7"/>
      <c r="H193" s="7"/>
      <c r="I193" s="7"/>
      <c r="J193" s="7"/>
      <c r="K193" s="7"/>
      <c r="L193" s="7"/>
      <c r="M193" s="7"/>
    </row>
    <row r="194" spans="1:13" x14ac:dyDescent="0.4">
      <c r="A194" s="4"/>
      <c r="B194" s="7"/>
      <c r="C194" s="7"/>
      <c r="D194" s="7"/>
      <c r="E194" s="7"/>
      <c r="F194" s="7"/>
      <c r="G194" s="7"/>
      <c r="H194" s="7"/>
      <c r="I194" s="7"/>
      <c r="J194" s="7"/>
      <c r="K194" s="7"/>
      <c r="L194" s="7"/>
      <c r="M194" s="7"/>
    </row>
    <row r="195" spans="1:13" x14ac:dyDescent="0.4">
      <c r="A195" s="4"/>
      <c r="B195" s="7"/>
      <c r="C195" s="7"/>
      <c r="D195" s="7"/>
      <c r="E195" s="7"/>
      <c r="F195" s="7"/>
      <c r="G195" s="7"/>
      <c r="H195" s="7"/>
      <c r="I195" s="7"/>
      <c r="J195" s="7"/>
      <c r="K195" s="7"/>
      <c r="L195" s="7"/>
      <c r="M195" s="7"/>
    </row>
    <row r="196" spans="1:13" x14ac:dyDescent="0.4">
      <c r="A196" s="4"/>
      <c r="B196" s="7"/>
      <c r="C196" s="7"/>
      <c r="D196" s="7"/>
      <c r="E196" s="7"/>
      <c r="F196" s="7"/>
      <c r="G196" s="7"/>
      <c r="H196" s="7"/>
      <c r="I196" s="7"/>
      <c r="J196" s="7"/>
      <c r="K196" s="7"/>
      <c r="L196" s="7"/>
      <c r="M196" s="7"/>
    </row>
    <row r="197" spans="1:13" x14ac:dyDescent="0.4">
      <c r="A197" s="4"/>
      <c r="B197" s="7"/>
      <c r="C197" s="7"/>
      <c r="D197" s="7"/>
      <c r="E197" s="7"/>
      <c r="F197" s="7"/>
      <c r="G197" s="7"/>
      <c r="H197" s="7"/>
      <c r="I197" s="7"/>
      <c r="J197" s="7"/>
      <c r="K197" s="7"/>
      <c r="L197" s="7"/>
      <c r="M197" s="7"/>
    </row>
    <row r="198" spans="1:13" x14ac:dyDescent="0.4">
      <c r="A198" s="4"/>
      <c r="B198" s="7"/>
      <c r="C198" s="7"/>
      <c r="D198" s="7"/>
      <c r="E198" s="7"/>
      <c r="F198" s="7"/>
      <c r="G198" s="7"/>
      <c r="H198" s="7"/>
      <c r="I198" s="7"/>
      <c r="J198" s="7"/>
      <c r="K198" s="7"/>
      <c r="L198" s="7"/>
      <c r="M198" s="7"/>
    </row>
    <row r="199" spans="1:13" x14ac:dyDescent="0.4">
      <c r="A199" s="4"/>
      <c r="B199" s="7"/>
      <c r="C199" s="7"/>
      <c r="D199" s="7"/>
      <c r="E199" s="7"/>
      <c r="F199" s="7"/>
      <c r="G199" s="7"/>
      <c r="H199" s="7"/>
      <c r="I199" s="7"/>
      <c r="J199" s="7"/>
      <c r="K199" s="7"/>
      <c r="L199" s="7"/>
      <c r="M199" s="7"/>
    </row>
    <row r="200" spans="1:13" x14ac:dyDescent="0.4">
      <c r="A200" s="4"/>
      <c r="B200" s="7"/>
      <c r="C200" s="7"/>
      <c r="D200" s="7"/>
      <c r="E200" s="7"/>
      <c r="F200" s="7"/>
      <c r="G200" s="7"/>
      <c r="H200" s="7"/>
      <c r="I200" s="7"/>
      <c r="J200" s="7"/>
      <c r="K200" s="7"/>
      <c r="L200" s="7"/>
      <c r="M200" s="7"/>
    </row>
    <row r="201" spans="1:13" x14ac:dyDescent="0.4">
      <c r="A201" s="4"/>
      <c r="B201" s="7"/>
      <c r="C201" s="7"/>
      <c r="D201" s="7"/>
      <c r="E201" s="7"/>
      <c r="F201" s="7"/>
      <c r="G201" s="7"/>
      <c r="H201" s="7"/>
      <c r="I201" s="7"/>
      <c r="J201" s="7"/>
      <c r="K201" s="7"/>
      <c r="L201" s="7"/>
      <c r="M201" s="7"/>
    </row>
    <row r="202" spans="1:13" x14ac:dyDescent="0.4">
      <c r="A202" s="4"/>
      <c r="B202" s="7"/>
      <c r="C202" s="7"/>
      <c r="D202" s="7"/>
      <c r="E202" s="7"/>
      <c r="F202" s="7"/>
      <c r="G202" s="7"/>
      <c r="H202" s="7"/>
      <c r="I202" s="7"/>
      <c r="J202" s="7"/>
      <c r="K202" s="7"/>
      <c r="L202" s="7"/>
      <c r="M202" s="7"/>
    </row>
    <row r="203" spans="1:13" x14ac:dyDescent="0.4">
      <c r="A203" s="4"/>
      <c r="B203" s="7"/>
      <c r="C203" s="7"/>
      <c r="D203" s="7"/>
      <c r="E203" s="7"/>
      <c r="F203" s="7"/>
      <c r="G203" s="7"/>
      <c r="H203" s="7"/>
      <c r="I203" s="7"/>
      <c r="J203" s="7"/>
      <c r="K203" s="7"/>
      <c r="L203" s="7"/>
      <c r="M203" s="7"/>
    </row>
    <row r="204" spans="1:13" x14ac:dyDescent="0.4">
      <c r="A204" s="4"/>
      <c r="B204" s="7"/>
      <c r="C204" s="7"/>
      <c r="D204" s="7"/>
      <c r="E204" s="7"/>
      <c r="F204" s="7"/>
      <c r="G204" s="7"/>
      <c r="H204" s="7"/>
      <c r="I204" s="7"/>
      <c r="J204" s="7"/>
      <c r="K204" s="7"/>
      <c r="L204" s="7"/>
      <c r="M204" s="7"/>
    </row>
    <row r="206" spans="1:13" x14ac:dyDescent="0.4">
      <c r="A206" s="3"/>
    </row>
    <row r="207" spans="1:13" x14ac:dyDescent="0.4">
      <c r="A207" s="3"/>
    </row>
    <row r="208" spans="1:13" x14ac:dyDescent="0.4">
      <c r="A208" s="3"/>
    </row>
    <row r="211" spans="1:13" x14ac:dyDescent="0.4">
      <c r="A211" s="2"/>
    </row>
    <row r="212" spans="1:13" x14ac:dyDescent="0.4">
      <c r="A212" s="3"/>
    </row>
    <row r="214" spans="1:13" x14ac:dyDescent="0.4">
      <c r="A214" s="4"/>
      <c r="B214" s="4"/>
    </row>
    <row r="215" spans="1:13" x14ac:dyDescent="0.4">
      <c r="A215" s="4"/>
      <c r="B215" s="4"/>
    </row>
    <row r="216" spans="1:13" x14ac:dyDescent="0.4">
      <c r="A216" s="4"/>
      <c r="B216" s="4"/>
    </row>
    <row r="218" spans="1:13" x14ac:dyDescent="0.4">
      <c r="A218" s="5"/>
      <c r="B218" s="6"/>
      <c r="C218" s="6"/>
      <c r="D218" s="6"/>
      <c r="E218" s="6"/>
      <c r="F218" s="6"/>
      <c r="G218" s="6"/>
      <c r="H218" s="6"/>
      <c r="I218" s="6"/>
      <c r="J218" s="6"/>
      <c r="K218" s="6"/>
      <c r="L218" s="6"/>
      <c r="M218" s="6"/>
    </row>
    <row r="219" spans="1:13" x14ac:dyDescent="0.4">
      <c r="A219" s="4"/>
      <c r="B219" s="7"/>
      <c r="C219" s="7"/>
      <c r="D219" s="7"/>
      <c r="E219" s="7"/>
      <c r="F219" s="7"/>
      <c r="G219" s="7"/>
      <c r="H219" s="7"/>
      <c r="I219" s="7"/>
      <c r="J219" s="7"/>
      <c r="K219" s="7"/>
      <c r="L219" s="7"/>
      <c r="M219" s="7"/>
    </row>
    <row r="220" spans="1:13" x14ac:dyDescent="0.4">
      <c r="A220" s="4"/>
      <c r="B220" s="7"/>
      <c r="C220" s="7"/>
      <c r="D220" s="7"/>
      <c r="E220" s="7"/>
      <c r="F220" s="7"/>
      <c r="G220" s="7"/>
      <c r="H220" s="7"/>
      <c r="I220" s="7"/>
      <c r="J220" s="7"/>
      <c r="K220" s="7"/>
      <c r="L220" s="7"/>
      <c r="M220" s="7"/>
    </row>
    <row r="221" spans="1:13" x14ac:dyDescent="0.4">
      <c r="A221" s="4"/>
      <c r="B221" s="7"/>
      <c r="C221" s="7"/>
      <c r="D221" s="7"/>
      <c r="E221" s="7"/>
      <c r="F221" s="7"/>
      <c r="G221" s="7"/>
      <c r="H221" s="7"/>
      <c r="I221" s="7"/>
      <c r="J221" s="7"/>
      <c r="K221" s="7"/>
      <c r="L221" s="7"/>
      <c r="M221" s="7"/>
    </row>
    <row r="222" spans="1:13" x14ac:dyDescent="0.4">
      <c r="A222" s="4"/>
      <c r="B222" s="7"/>
      <c r="C222" s="7"/>
      <c r="D222" s="7"/>
      <c r="E222" s="7"/>
      <c r="F222" s="7"/>
      <c r="G222" s="7"/>
      <c r="H222" s="7"/>
      <c r="I222" s="7"/>
      <c r="J222" s="7"/>
      <c r="K222" s="7"/>
      <c r="L222" s="7"/>
      <c r="M222" s="7"/>
    </row>
    <row r="223" spans="1:13" x14ac:dyDescent="0.4">
      <c r="A223" s="4"/>
      <c r="B223" s="7"/>
      <c r="C223" s="7"/>
      <c r="D223" s="7"/>
      <c r="E223" s="7"/>
      <c r="F223" s="7"/>
      <c r="G223" s="7"/>
      <c r="H223" s="7"/>
      <c r="I223" s="7"/>
      <c r="J223" s="7"/>
      <c r="K223" s="7"/>
      <c r="L223" s="7"/>
      <c r="M223" s="7"/>
    </row>
    <row r="224" spans="1:13" x14ac:dyDescent="0.4">
      <c r="A224" s="4"/>
      <c r="B224" s="7"/>
      <c r="C224" s="7"/>
      <c r="D224" s="7"/>
      <c r="E224" s="7"/>
      <c r="F224" s="7"/>
      <c r="G224" s="7"/>
      <c r="H224" s="7"/>
      <c r="I224" s="7"/>
      <c r="J224" s="7"/>
      <c r="K224" s="7"/>
      <c r="L224" s="7"/>
      <c r="M224" s="7"/>
    </row>
    <row r="225" spans="1:13" x14ac:dyDescent="0.4">
      <c r="A225" s="4"/>
      <c r="B225" s="7"/>
      <c r="C225" s="7"/>
      <c r="D225" s="7"/>
      <c r="E225" s="7"/>
      <c r="F225" s="7"/>
      <c r="G225" s="7"/>
      <c r="H225" s="7"/>
      <c r="I225" s="7"/>
      <c r="J225" s="7"/>
      <c r="K225" s="7"/>
      <c r="L225" s="7"/>
      <c r="M225" s="7"/>
    </row>
    <row r="226" spans="1:13" x14ac:dyDescent="0.4">
      <c r="A226" s="4"/>
      <c r="B226" s="7"/>
      <c r="C226" s="7"/>
      <c r="D226" s="7"/>
      <c r="E226" s="7"/>
      <c r="F226" s="7"/>
      <c r="G226" s="7"/>
      <c r="H226" s="7"/>
      <c r="I226" s="7"/>
      <c r="J226" s="7"/>
      <c r="K226" s="7"/>
      <c r="L226" s="7"/>
      <c r="M226" s="7"/>
    </row>
    <row r="227" spans="1:13" x14ac:dyDescent="0.4">
      <c r="A227" s="4"/>
      <c r="B227" s="7"/>
      <c r="C227" s="7"/>
      <c r="D227" s="7"/>
      <c r="E227" s="7"/>
      <c r="F227" s="7"/>
      <c r="G227" s="7"/>
      <c r="H227" s="7"/>
      <c r="I227" s="7"/>
      <c r="J227" s="7"/>
      <c r="K227" s="7"/>
      <c r="L227" s="7"/>
      <c r="M227" s="7"/>
    </row>
    <row r="228" spans="1:13" x14ac:dyDescent="0.4">
      <c r="A228" s="4"/>
      <c r="B228" s="7"/>
      <c r="C228" s="7"/>
      <c r="D228" s="7"/>
      <c r="E228" s="7"/>
      <c r="F228" s="7"/>
      <c r="G228" s="7"/>
      <c r="H228" s="7"/>
      <c r="I228" s="7"/>
      <c r="J228" s="7"/>
      <c r="K228" s="7"/>
      <c r="L228" s="7"/>
      <c r="M228" s="7"/>
    </row>
    <row r="229" spans="1:13" x14ac:dyDescent="0.4">
      <c r="A229" s="4"/>
      <c r="B229" s="7"/>
      <c r="C229" s="7"/>
      <c r="D229" s="7"/>
      <c r="E229" s="7"/>
      <c r="F229" s="7"/>
      <c r="G229" s="7"/>
      <c r="H229" s="7"/>
      <c r="I229" s="7"/>
      <c r="J229" s="7"/>
      <c r="K229" s="7"/>
      <c r="L229" s="7"/>
      <c r="M229" s="7"/>
    </row>
    <row r="230" spans="1:13" x14ac:dyDescent="0.4">
      <c r="A230" s="4"/>
      <c r="B230" s="7"/>
      <c r="C230" s="7"/>
      <c r="D230" s="7"/>
      <c r="E230" s="7"/>
      <c r="F230" s="7"/>
      <c r="G230" s="7"/>
      <c r="H230" s="7"/>
      <c r="I230" s="7"/>
      <c r="J230" s="7"/>
      <c r="K230" s="7"/>
      <c r="L230" s="7"/>
      <c r="M230" s="7"/>
    </row>
    <row r="231" spans="1:13" x14ac:dyDescent="0.4">
      <c r="A231" s="4"/>
      <c r="B231" s="7"/>
      <c r="C231" s="7"/>
      <c r="D231" s="7"/>
      <c r="E231" s="7"/>
      <c r="F231" s="7"/>
      <c r="G231" s="7"/>
      <c r="H231" s="7"/>
      <c r="I231" s="7"/>
      <c r="J231" s="7"/>
      <c r="K231" s="7"/>
      <c r="L231" s="7"/>
      <c r="M231" s="7"/>
    </row>
    <row r="232" spans="1:13" x14ac:dyDescent="0.4">
      <c r="A232" s="4"/>
      <c r="B232" s="7"/>
      <c r="C232" s="7"/>
      <c r="D232" s="7"/>
      <c r="E232" s="7"/>
      <c r="F232" s="7"/>
      <c r="G232" s="7"/>
      <c r="H232" s="7"/>
      <c r="I232" s="7"/>
      <c r="J232" s="7"/>
      <c r="K232" s="7"/>
      <c r="L232" s="7"/>
      <c r="M232" s="7"/>
    </row>
    <row r="233" spans="1:13" x14ac:dyDescent="0.4">
      <c r="A233" s="4"/>
      <c r="B233" s="7"/>
      <c r="C233" s="7"/>
      <c r="D233" s="7"/>
      <c r="E233" s="7"/>
      <c r="F233" s="7"/>
      <c r="G233" s="7"/>
      <c r="H233" s="7"/>
      <c r="I233" s="7"/>
      <c r="J233" s="7"/>
      <c r="K233" s="7"/>
      <c r="L233" s="7"/>
      <c r="M233" s="7"/>
    </row>
    <row r="234" spans="1:13" x14ac:dyDescent="0.4">
      <c r="A234" s="4"/>
      <c r="B234" s="7"/>
      <c r="C234" s="7"/>
      <c r="D234" s="7"/>
      <c r="E234" s="7"/>
      <c r="F234" s="7"/>
      <c r="G234" s="7"/>
      <c r="H234" s="7"/>
      <c r="I234" s="7"/>
      <c r="J234" s="7"/>
      <c r="K234" s="7"/>
      <c r="L234" s="7"/>
      <c r="M234" s="7"/>
    </row>
    <row r="236" spans="1:13" x14ac:dyDescent="0.4">
      <c r="A236" s="3"/>
    </row>
    <row r="237" spans="1:13" x14ac:dyDescent="0.4">
      <c r="A237" s="3"/>
    </row>
    <row r="238" spans="1:13" x14ac:dyDescent="0.4">
      <c r="A238" s="3"/>
    </row>
    <row r="241" spans="1:13" x14ac:dyDescent="0.4">
      <c r="A241" s="2"/>
    </row>
    <row r="242" spans="1:13" x14ac:dyDescent="0.4">
      <c r="A242" s="3"/>
    </row>
    <row r="244" spans="1:13" x14ac:dyDescent="0.4">
      <c r="A244" s="4"/>
      <c r="B244" s="4"/>
    </row>
    <row r="245" spans="1:13" x14ac:dyDescent="0.4">
      <c r="A245" s="4"/>
      <c r="B245" s="4"/>
    </row>
    <row r="246" spans="1:13" x14ac:dyDescent="0.4">
      <c r="A246" s="4"/>
      <c r="B246" s="4"/>
    </row>
    <row r="248" spans="1:13" x14ac:dyDescent="0.4">
      <c r="A248" s="5"/>
      <c r="B248" s="6"/>
      <c r="C248" s="6"/>
      <c r="D248" s="6"/>
      <c r="E248" s="6"/>
      <c r="F248" s="6"/>
      <c r="G248" s="6"/>
      <c r="H248" s="6"/>
      <c r="I248" s="6"/>
      <c r="J248" s="6"/>
      <c r="K248" s="6"/>
      <c r="L248" s="6"/>
      <c r="M248" s="6"/>
    </row>
    <row r="249" spans="1:13" x14ac:dyDescent="0.4">
      <c r="A249" s="4"/>
      <c r="B249" s="7"/>
      <c r="C249" s="7"/>
      <c r="D249" s="7"/>
      <c r="E249" s="7"/>
      <c r="F249" s="7"/>
      <c r="G249" s="7"/>
      <c r="H249" s="7"/>
      <c r="I249" s="7"/>
      <c r="J249" s="7"/>
      <c r="K249" s="7"/>
      <c r="L249" s="7"/>
      <c r="M249" s="7"/>
    </row>
    <row r="250" spans="1:13" x14ac:dyDescent="0.4">
      <c r="A250" s="4"/>
      <c r="B250" s="7"/>
      <c r="C250" s="7"/>
      <c r="D250" s="7"/>
      <c r="E250" s="7"/>
      <c r="F250" s="7"/>
      <c r="G250" s="7"/>
      <c r="H250" s="7"/>
      <c r="I250" s="7"/>
      <c r="J250" s="7"/>
      <c r="K250" s="7"/>
      <c r="L250" s="7"/>
      <c r="M250" s="7"/>
    </row>
    <row r="251" spans="1:13" x14ac:dyDescent="0.4">
      <c r="A251" s="4"/>
      <c r="B251" s="7"/>
      <c r="C251" s="7"/>
      <c r="D251" s="7"/>
      <c r="E251" s="7"/>
      <c r="F251" s="7"/>
      <c r="G251" s="7"/>
      <c r="H251" s="7"/>
      <c r="I251" s="7"/>
      <c r="J251" s="7"/>
      <c r="K251" s="7"/>
      <c r="L251" s="7"/>
      <c r="M251" s="7"/>
    </row>
    <row r="252" spans="1:13" x14ac:dyDescent="0.4">
      <c r="A252" s="4"/>
      <c r="B252" s="7"/>
      <c r="C252" s="7"/>
      <c r="D252" s="7"/>
      <c r="E252" s="7"/>
      <c r="F252" s="7"/>
      <c r="G252" s="7"/>
      <c r="H252" s="7"/>
      <c r="I252" s="7"/>
      <c r="J252" s="7"/>
      <c r="K252" s="7"/>
      <c r="L252" s="7"/>
      <c r="M252" s="7"/>
    </row>
    <row r="253" spans="1:13" x14ac:dyDescent="0.4">
      <c r="A253" s="4"/>
      <c r="B253" s="7"/>
      <c r="C253" s="7"/>
      <c r="D253" s="7"/>
      <c r="E253" s="7"/>
      <c r="F253" s="7"/>
      <c r="G253" s="7"/>
      <c r="H253" s="7"/>
      <c r="I253" s="7"/>
      <c r="J253" s="7"/>
      <c r="K253" s="7"/>
      <c r="L253" s="7"/>
      <c r="M253" s="7"/>
    </row>
    <row r="254" spans="1:13" x14ac:dyDescent="0.4">
      <c r="A254" s="4"/>
      <c r="B254" s="7"/>
      <c r="C254" s="7"/>
      <c r="D254" s="7"/>
      <c r="E254" s="7"/>
      <c r="F254" s="7"/>
      <c r="G254" s="7"/>
      <c r="H254" s="7"/>
      <c r="I254" s="7"/>
      <c r="J254" s="7"/>
      <c r="K254" s="7"/>
      <c r="L254" s="7"/>
      <c r="M254" s="7"/>
    </row>
    <row r="255" spans="1:13" x14ac:dyDescent="0.4">
      <c r="A255" s="4"/>
      <c r="B255" s="7"/>
      <c r="C255" s="7"/>
      <c r="D255" s="7"/>
      <c r="E255" s="7"/>
      <c r="F255" s="7"/>
      <c r="G255" s="7"/>
      <c r="H255" s="7"/>
      <c r="I255" s="7"/>
      <c r="J255" s="7"/>
      <c r="K255" s="7"/>
      <c r="L255" s="7"/>
      <c r="M255" s="7"/>
    </row>
    <row r="256" spans="1:13" x14ac:dyDescent="0.4">
      <c r="A256" s="4"/>
      <c r="B256" s="7"/>
      <c r="C256" s="7"/>
      <c r="D256" s="7"/>
      <c r="E256" s="7"/>
      <c r="F256" s="7"/>
      <c r="G256" s="7"/>
      <c r="H256" s="7"/>
      <c r="I256" s="7"/>
      <c r="J256" s="7"/>
      <c r="K256" s="7"/>
      <c r="L256" s="7"/>
      <c r="M256" s="7"/>
    </row>
    <row r="257" spans="1:13" x14ac:dyDescent="0.4">
      <c r="A257" s="4"/>
      <c r="B257" s="7"/>
      <c r="C257" s="7"/>
      <c r="D257" s="7"/>
      <c r="E257" s="7"/>
      <c r="F257" s="7"/>
      <c r="G257" s="7"/>
      <c r="H257" s="7"/>
      <c r="I257" s="7"/>
      <c r="J257" s="7"/>
      <c r="K257" s="7"/>
      <c r="L257" s="7"/>
      <c r="M257" s="7"/>
    </row>
    <row r="258" spans="1:13" x14ac:dyDescent="0.4">
      <c r="A258" s="4"/>
      <c r="B258" s="7"/>
      <c r="C258" s="7"/>
      <c r="D258" s="7"/>
      <c r="E258" s="7"/>
      <c r="F258" s="7"/>
      <c r="G258" s="7"/>
      <c r="H258" s="7"/>
      <c r="I258" s="7"/>
      <c r="J258" s="7"/>
      <c r="K258" s="7"/>
      <c r="L258" s="7"/>
      <c r="M258" s="7"/>
    </row>
    <row r="259" spans="1:13" x14ac:dyDescent="0.4">
      <c r="A259" s="4"/>
      <c r="B259" s="7"/>
      <c r="C259" s="7"/>
      <c r="D259" s="7"/>
      <c r="E259" s="7"/>
      <c r="F259" s="7"/>
      <c r="G259" s="7"/>
      <c r="H259" s="7"/>
      <c r="I259" s="7"/>
      <c r="J259" s="7"/>
      <c r="K259" s="7"/>
      <c r="L259" s="7"/>
      <c r="M259" s="7"/>
    </row>
    <row r="260" spans="1:13" x14ac:dyDescent="0.4">
      <c r="A260" s="4"/>
      <c r="B260" s="7"/>
      <c r="C260" s="7"/>
      <c r="D260" s="7"/>
      <c r="E260" s="7"/>
      <c r="F260" s="7"/>
      <c r="G260" s="7"/>
      <c r="H260" s="7"/>
      <c r="I260" s="7"/>
      <c r="J260" s="7"/>
      <c r="K260" s="7"/>
      <c r="L260" s="7"/>
      <c r="M260" s="7"/>
    </row>
    <row r="261" spans="1:13" x14ac:dyDescent="0.4">
      <c r="A261" s="4"/>
      <c r="B261" s="7"/>
      <c r="C261" s="7"/>
      <c r="D261" s="7"/>
      <c r="E261" s="7"/>
      <c r="F261" s="7"/>
      <c r="G261" s="7"/>
      <c r="H261" s="7"/>
      <c r="I261" s="7"/>
      <c r="J261" s="7"/>
      <c r="K261" s="7"/>
      <c r="L261" s="7"/>
      <c r="M261" s="7"/>
    </row>
    <row r="262" spans="1:13" x14ac:dyDescent="0.4">
      <c r="A262" s="4"/>
      <c r="B262" s="7"/>
      <c r="C262" s="7"/>
      <c r="D262" s="7"/>
      <c r="E262" s="7"/>
      <c r="F262" s="7"/>
      <c r="G262" s="7"/>
      <c r="H262" s="7"/>
      <c r="I262" s="7"/>
      <c r="J262" s="7"/>
      <c r="K262" s="7"/>
      <c r="L262" s="7"/>
      <c r="M262" s="7"/>
    </row>
    <row r="263" spans="1:13" x14ac:dyDescent="0.4">
      <c r="A263" s="4"/>
      <c r="B263" s="7"/>
      <c r="C263" s="7"/>
      <c r="D263" s="7"/>
      <c r="E263" s="7"/>
      <c r="F263" s="7"/>
      <c r="G263" s="7"/>
      <c r="H263" s="7"/>
      <c r="I263" s="7"/>
      <c r="J263" s="7"/>
      <c r="K263" s="7"/>
      <c r="L263" s="7"/>
      <c r="M263" s="7"/>
    </row>
    <row r="264" spans="1:13" x14ac:dyDescent="0.4">
      <c r="A264" s="4"/>
      <c r="B264" s="7"/>
      <c r="C264" s="7"/>
      <c r="D264" s="7"/>
      <c r="E264" s="7"/>
      <c r="F264" s="7"/>
      <c r="G264" s="7"/>
      <c r="H264" s="7"/>
      <c r="I264" s="7"/>
      <c r="J264" s="7"/>
      <c r="K264" s="7"/>
      <c r="L264" s="7"/>
      <c r="M264" s="7"/>
    </row>
    <row r="266" spans="1:13" x14ac:dyDescent="0.4">
      <c r="A266" s="3"/>
    </row>
    <row r="267" spans="1:13" x14ac:dyDescent="0.4">
      <c r="A267" s="3"/>
    </row>
    <row r="268" spans="1:13" x14ac:dyDescent="0.4">
      <c r="A268" s="3"/>
    </row>
    <row r="271" spans="1:13" x14ac:dyDescent="0.4">
      <c r="A271" s="2"/>
    </row>
    <row r="272" spans="1:13" x14ac:dyDescent="0.4">
      <c r="A272" s="3"/>
    </row>
    <row r="274" spans="1:13" x14ac:dyDescent="0.4">
      <c r="A274" s="4"/>
      <c r="B274" s="4"/>
    </row>
    <row r="275" spans="1:13" x14ac:dyDescent="0.4">
      <c r="A275" s="4"/>
      <c r="B275" s="4"/>
    </row>
    <row r="276" spans="1:13" x14ac:dyDescent="0.4">
      <c r="A276" s="4"/>
      <c r="B276" s="4"/>
    </row>
    <row r="278" spans="1:13" x14ac:dyDescent="0.4">
      <c r="A278" s="5"/>
      <c r="B278" s="6"/>
      <c r="C278" s="6"/>
      <c r="D278" s="6"/>
      <c r="E278" s="6"/>
      <c r="F278" s="6"/>
      <c r="G278" s="6"/>
      <c r="H278" s="6"/>
      <c r="I278" s="6"/>
      <c r="J278" s="6"/>
      <c r="K278" s="6"/>
      <c r="L278" s="6"/>
      <c r="M278" s="6"/>
    </row>
    <row r="279" spans="1:13" x14ac:dyDescent="0.4">
      <c r="A279" s="4"/>
      <c r="B279" s="7"/>
      <c r="C279" s="7"/>
      <c r="D279" s="7"/>
      <c r="E279" s="7"/>
      <c r="F279" s="7"/>
      <c r="G279" s="7"/>
      <c r="H279" s="7"/>
      <c r="I279" s="7"/>
      <c r="J279" s="7"/>
      <c r="K279" s="7"/>
      <c r="L279" s="7"/>
      <c r="M279" s="7"/>
    </row>
    <row r="280" spans="1:13" x14ac:dyDescent="0.4">
      <c r="A280" s="4"/>
      <c r="B280" s="7"/>
      <c r="C280" s="7"/>
      <c r="D280" s="7"/>
      <c r="E280" s="7"/>
      <c r="F280" s="7"/>
      <c r="G280" s="7"/>
      <c r="H280" s="7"/>
      <c r="I280" s="7"/>
      <c r="J280" s="7"/>
      <c r="K280" s="7"/>
      <c r="L280" s="7"/>
      <c r="M280" s="7"/>
    </row>
    <row r="281" spans="1:13" x14ac:dyDescent="0.4">
      <c r="A281" s="4"/>
      <c r="B281" s="7"/>
      <c r="C281" s="7"/>
      <c r="D281" s="7"/>
      <c r="E281" s="7"/>
      <c r="F281" s="7"/>
      <c r="G281" s="7"/>
      <c r="H281" s="7"/>
      <c r="I281" s="7"/>
      <c r="J281" s="7"/>
      <c r="K281" s="7"/>
      <c r="L281" s="7"/>
      <c r="M281" s="7"/>
    </row>
    <row r="282" spans="1:13" x14ac:dyDescent="0.4">
      <c r="A282" s="4"/>
      <c r="B282" s="7"/>
      <c r="C282" s="7"/>
      <c r="D282" s="7"/>
      <c r="E282" s="7"/>
      <c r="F282" s="7"/>
      <c r="G282" s="7"/>
      <c r="H282" s="7"/>
      <c r="I282" s="7"/>
      <c r="J282" s="7"/>
      <c r="K282" s="7"/>
      <c r="L282" s="7"/>
      <c r="M282" s="7"/>
    </row>
    <row r="283" spans="1:13" x14ac:dyDescent="0.4">
      <c r="A283" s="4"/>
      <c r="B283" s="7"/>
      <c r="C283" s="7"/>
      <c r="D283" s="7"/>
      <c r="E283" s="7"/>
      <c r="F283" s="7"/>
      <c r="G283" s="7"/>
      <c r="H283" s="7"/>
      <c r="I283" s="7"/>
      <c r="J283" s="7"/>
      <c r="K283" s="7"/>
      <c r="L283" s="7"/>
      <c r="M283" s="7"/>
    </row>
    <row r="284" spans="1:13" x14ac:dyDescent="0.4">
      <c r="A284" s="4"/>
      <c r="B284" s="7"/>
      <c r="C284" s="7"/>
      <c r="D284" s="7"/>
      <c r="E284" s="7"/>
      <c r="F284" s="7"/>
      <c r="G284" s="7"/>
      <c r="H284" s="7"/>
      <c r="I284" s="7"/>
      <c r="J284" s="7"/>
      <c r="K284" s="7"/>
      <c r="L284" s="7"/>
      <c r="M284" s="7"/>
    </row>
    <row r="285" spans="1:13" x14ac:dyDescent="0.4">
      <c r="A285" s="4"/>
      <c r="B285" s="7"/>
      <c r="C285" s="7"/>
      <c r="D285" s="7"/>
      <c r="E285" s="7"/>
      <c r="F285" s="7"/>
      <c r="G285" s="7"/>
      <c r="H285" s="7"/>
      <c r="I285" s="7"/>
      <c r="J285" s="7"/>
      <c r="K285" s="7"/>
      <c r="L285" s="7"/>
      <c r="M285" s="7"/>
    </row>
    <row r="286" spans="1:13" x14ac:dyDescent="0.4">
      <c r="A286" s="4"/>
      <c r="B286" s="7"/>
      <c r="C286" s="7"/>
      <c r="D286" s="7"/>
      <c r="E286" s="7"/>
      <c r="F286" s="7"/>
      <c r="G286" s="7"/>
      <c r="H286" s="7"/>
      <c r="I286" s="7"/>
      <c r="J286" s="7"/>
      <c r="K286" s="7"/>
      <c r="L286" s="7"/>
      <c r="M286" s="7"/>
    </row>
    <row r="287" spans="1:13" x14ac:dyDescent="0.4">
      <c r="A287" s="4"/>
      <c r="B287" s="7"/>
      <c r="C287" s="7"/>
      <c r="D287" s="7"/>
      <c r="E287" s="7"/>
      <c r="F287" s="7"/>
      <c r="G287" s="7"/>
      <c r="H287" s="7"/>
      <c r="I287" s="7"/>
      <c r="J287" s="7"/>
      <c r="K287" s="7"/>
      <c r="L287" s="7"/>
      <c r="M287" s="7"/>
    </row>
    <row r="288" spans="1:13" x14ac:dyDescent="0.4">
      <c r="A288" s="4"/>
      <c r="B288" s="7"/>
      <c r="C288" s="7"/>
      <c r="D288" s="7"/>
      <c r="E288" s="7"/>
      <c r="F288" s="7"/>
      <c r="G288" s="7"/>
      <c r="H288" s="7"/>
      <c r="I288" s="7"/>
      <c r="J288" s="7"/>
      <c r="K288" s="7"/>
      <c r="L288" s="7"/>
      <c r="M288" s="7"/>
    </row>
    <row r="289" spans="1:13" x14ac:dyDescent="0.4">
      <c r="A289" s="4"/>
      <c r="B289" s="7"/>
      <c r="C289" s="7"/>
      <c r="D289" s="7"/>
      <c r="E289" s="7"/>
      <c r="F289" s="7"/>
      <c r="G289" s="7"/>
      <c r="H289" s="7"/>
      <c r="I289" s="7"/>
      <c r="J289" s="7"/>
      <c r="K289" s="7"/>
      <c r="L289" s="7"/>
      <c r="M289" s="7"/>
    </row>
    <row r="290" spans="1:13" x14ac:dyDescent="0.4">
      <c r="A290" s="4"/>
      <c r="B290" s="7"/>
      <c r="C290" s="7"/>
      <c r="D290" s="7"/>
      <c r="E290" s="7"/>
      <c r="F290" s="7"/>
      <c r="G290" s="7"/>
      <c r="H290" s="7"/>
      <c r="I290" s="7"/>
      <c r="J290" s="7"/>
      <c r="K290" s="7"/>
      <c r="L290" s="7"/>
      <c r="M290" s="7"/>
    </row>
    <row r="291" spans="1:13" x14ac:dyDescent="0.4">
      <c r="A291" s="4"/>
      <c r="B291" s="7"/>
      <c r="C291" s="7"/>
      <c r="D291" s="7"/>
      <c r="E291" s="7"/>
      <c r="F291" s="7"/>
      <c r="G291" s="7"/>
      <c r="H291" s="7"/>
      <c r="I291" s="7"/>
      <c r="J291" s="7"/>
      <c r="K291" s="7"/>
      <c r="L291" s="7"/>
      <c r="M291" s="7"/>
    </row>
    <row r="292" spans="1:13" x14ac:dyDescent="0.4">
      <c r="A292" s="4"/>
      <c r="B292" s="7"/>
      <c r="C292" s="7"/>
      <c r="D292" s="7"/>
      <c r="E292" s="7"/>
      <c r="F292" s="7"/>
      <c r="G292" s="7"/>
      <c r="H292" s="7"/>
      <c r="I292" s="7"/>
      <c r="J292" s="7"/>
      <c r="K292" s="7"/>
      <c r="L292" s="7"/>
      <c r="M292" s="7"/>
    </row>
    <row r="293" spans="1:13" x14ac:dyDescent="0.4">
      <c r="A293" s="4"/>
      <c r="B293" s="7"/>
      <c r="C293" s="7"/>
      <c r="D293" s="7"/>
      <c r="E293" s="7"/>
      <c r="F293" s="7"/>
      <c r="G293" s="7"/>
      <c r="H293" s="7"/>
      <c r="I293" s="7"/>
      <c r="J293" s="7"/>
      <c r="K293" s="7"/>
      <c r="L293" s="7"/>
      <c r="M293" s="7"/>
    </row>
    <row r="294" spans="1:13" x14ac:dyDescent="0.4">
      <c r="A294" s="4"/>
      <c r="B294" s="7"/>
      <c r="C294" s="7"/>
      <c r="D294" s="7"/>
      <c r="E294" s="7"/>
      <c r="F294" s="7"/>
      <c r="G294" s="7"/>
      <c r="H294" s="7"/>
      <c r="I294" s="7"/>
      <c r="J294" s="7"/>
      <c r="K294" s="7"/>
      <c r="L294" s="7"/>
      <c r="M294" s="7"/>
    </row>
    <row r="296" spans="1:13" x14ac:dyDescent="0.4">
      <c r="A296" s="3"/>
    </row>
    <row r="297" spans="1:13" x14ac:dyDescent="0.4">
      <c r="A297" s="3"/>
    </row>
    <row r="298" spans="1:13" x14ac:dyDescent="0.4">
      <c r="A298" s="3"/>
    </row>
    <row r="301" spans="1:13" x14ac:dyDescent="0.4">
      <c r="A301" s="2"/>
    </row>
    <row r="302" spans="1:13" x14ac:dyDescent="0.4">
      <c r="A302" s="3"/>
    </row>
    <row r="304" spans="1:13" x14ac:dyDescent="0.4">
      <c r="A304" s="4"/>
      <c r="B304" s="4"/>
    </row>
    <row r="305" spans="1:13" x14ac:dyDescent="0.4">
      <c r="A305" s="4"/>
      <c r="B305" s="4"/>
    </row>
    <row r="306" spans="1:13" x14ac:dyDescent="0.4">
      <c r="A306" s="4"/>
      <c r="B306" s="4"/>
    </row>
    <row r="308" spans="1:13" x14ac:dyDescent="0.4">
      <c r="A308" s="5"/>
      <c r="B308" s="6"/>
      <c r="C308" s="6"/>
      <c r="D308" s="6"/>
      <c r="E308" s="6"/>
      <c r="F308" s="6"/>
      <c r="G308" s="6"/>
      <c r="H308" s="6"/>
      <c r="I308" s="6"/>
      <c r="J308" s="6"/>
      <c r="K308" s="6"/>
      <c r="L308" s="6"/>
      <c r="M308" s="6"/>
    </row>
    <row r="309" spans="1:13" x14ac:dyDescent="0.4">
      <c r="A309" s="4"/>
      <c r="B309" s="7"/>
      <c r="C309" s="7"/>
      <c r="D309" s="7"/>
      <c r="E309" s="7"/>
      <c r="F309" s="7"/>
      <c r="G309" s="7"/>
      <c r="H309" s="7"/>
      <c r="I309" s="7"/>
      <c r="J309" s="7"/>
      <c r="K309" s="7"/>
      <c r="L309" s="7"/>
      <c r="M309" s="7"/>
    </row>
    <row r="310" spans="1:13" x14ac:dyDescent="0.4">
      <c r="A310" s="4"/>
      <c r="B310" s="7"/>
      <c r="C310" s="7"/>
      <c r="D310" s="7"/>
      <c r="E310" s="7"/>
      <c r="F310" s="7"/>
      <c r="G310" s="7"/>
      <c r="H310" s="7"/>
      <c r="I310" s="7"/>
      <c r="J310" s="7"/>
      <c r="K310" s="7"/>
      <c r="L310" s="7"/>
      <c r="M310" s="7"/>
    </row>
    <row r="311" spans="1:13" x14ac:dyDescent="0.4">
      <c r="A311" s="4"/>
      <c r="B311" s="7"/>
      <c r="C311" s="7"/>
      <c r="D311" s="7"/>
      <c r="E311" s="7"/>
      <c r="F311" s="7"/>
      <c r="G311" s="7"/>
      <c r="H311" s="7"/>
      <c r="I311" s="7"/>
      <c r="J311" s="7"/>
      <c r="K311" s="7"/>
      <c r="L311" s="7"/>
      <c r="M311" s="7"/>
    </row>
    <row r="312" spans="1:13" x14ac:dyDescent="0.4">
      <c r="A312" s="4"/>
      <c r="B312" s="7"/>
      <c r="C312" s="7"/>
      <c r="D312" s="7"/>
      <c r="E312" s="7"/>
      <c r="F312" s="7"/>
      <c r="G312" s="7"/>
      <c r="H312" s="7"/>
      <c r="I312" s="7"/>
      <c r="J312" s="7"/>
      <c r="K312" s="7"/>
      <c r="L312" s="7"/>
      <c r="M312" s="7"/>
    </row>
    <row r="313" spans="1:13" x14ac:dyDescent="0.4">
      <c r="A313" s="4"/>
      <c r="B313" s="7"/>
      <c r="C313" s="7"/>
      <c r="D313" s="7"/>
      <c r="E313" s="7"/>
      <c r="F313" s="7"/>
      <c r="G313" s="7"/>
      <c r="H313" s="7"/>
      <c r="I313" s="7"/>
      <c r="J313" s="7"/>
      <c r="K313" s="7"/>
      <c r="L313" s="7"/>
      <c r="M313" s="7"/>
    </row>
    <row r="314" spans="1:13" x14ac:dyDescent="0.4">
      <c r="A314" s="4"/>
      <c r="B314" s="7"/>
      <c r="C314" s="7"/>
      <c r="D314" s="7"/>
      <c r="E314" s="7"/>
      <c r="F314" s="7"/>
      <c r="G314" s="7"/>
      <c r="H314" s="7"/>
      <c r="I314" s="7"/>
      <c r="J314" s="7"/>
      <c r="K314" s="7"/>
      <c r="L314" s="7"/>
      <c r="M314" s="7"/>
    </row>
    <row r="315" spans="1:13" x14ac:dyDescent="0.4">
      <c r="A315" s="4"/>
      <c r="B315" s="7"/>
      <c r="C315" s="7"/>
      <c r="D315" s="7"/>
      <c r="E315" s="7"/>
      <c r="F315" s="7"/>
      <c r="G315" s="7"/>
      <c r="H315" s="7"/>
      <c r="I315" s="7"/>
      <c r="J315" s="7"/>
      <c r="K315" s="7"/>
      <c r="L315" s="7"/>
      <c r="M315" s="7"/>
    </row>
    <row r="316" spans="1:13" x14ac:dyDescent="0.4">
      <c r="A316" s="4"/>
      <c r="B316" s="7"/>
      <c r="C316" s="7"/>
      <c r="D316" s="7"/>
      <c r="E316" s="7"/>
      <c r="F316" s="7"/>
      <c r="G316" s="7"/>
      <c r="H316" s="7"/>
      <c r="I316" s="7"/>
      <c r="J316" s="7"/>
      <c r="K316" s="7"/>
      <c r="L316" s="7"/>
      <c r="M316" s="7"/>
    </row>
    <row r="317" spans="1:13" x14ac:dyDescent="0.4">
      <c r="A317" s="4"/>
      <c r="B317" s="7"/>
      <c r="C317" s="7"/>
      <c r="D317" s="7"/>
      <c r="E317" s="7"/>
      <c r="F317" s="7"/>
      <c r="G317" s="7"/>
      <c r="H317" s="7"/>
      <c r="I317" s="7"/>
      <c r="J317" s="7"/>
      <c r="K317" s="7"/>
      <c r="L317" s="7"/>
      <c r="M317" s="7"/>
    </row>
    <row r="318" spans="1:13" x14ac:dyDescent="0.4">
      <c r="A318" s="4"/>
      <c r="B318" s="7"/>
      <c r="C318" s="7"/>
      <c r="D318" s="7"/>
      <c r="E318" s="7"/>
      <c r="F318" s="7"/>
      <c r="G318" s="7"/>
      <c r="H318" s="7"/>
      <c r="I318" s="7"/>
      <c r="J318" s="7"/>
      <c r="K318" s="7"/>
      <c r="L318" s="7"/>
      <c r="M318" s="7"/>
    </row>
    <row r="319" spans="1:13" x14ac:dyDescent="0.4">
      <c r="A319" s="4"/>
      <c r="B319" s="7"/>
      <c r="C319" s="7"/>
      <c r="D319" s="7"/>
      <c r="E319" s="7"/>
      <c r="F319" s="7"/>
      <c r="G319" s="7"/>
      <c r="H319" s="7"/>
      <c r="I319" s="7"/>
      <c r="J319" s="7"/>
      <c r="K319" s="7"/>
      <c r="L319" s="7"/>
      <c r="M319" s="7"/>
    </row>
    <row r="320" spans="1:13" x14ac:dyDescent="0.4">
      <c r="A320" s="4"/>
      <c r="B320" s="7"/>
      <c r="C320" s="7"/>
      <c r="D320" s="7"/>
      <c r="E320" s="7"/>
      <c r="F320" s="7"/>
      <c r="G320" s="7"/>
      <c r="H320" s="7"/>
      <c r="I320" s="7"/>
      <c r="J320" s="7"/>
      <c r="K320" s="7"/>
      <c r="L320" s="7"/>
      <c r="M320" s="7"/>
    </row>
    <row r="321" spans="1:13" x14ac:dyDescent="0.4">
      <c r="A321" s="4"/>
      <c r="B321" s="7"/>
      <c r="C321" s="7"/>
      <c r="D321" s="7"/>
      <c r="E321" s="7"/>
      <c r="F321" s="7"/>
      <c r="G321" s="7"/>
      <c r="H321" s="7"/>
      <c r="I321" s="7"/>
      <c r="J321" s="7"/>
      <c r="K321" s="7"/>
      <c r="L321" s="7"/>
      <c r="M321" s="7"/>
    </row>
    <row r="322" spans="1:13" x14ac:dyDescent="0.4">
      <c r="A322" s="4"/>
      <c r="B322" s="7"/>
      <c r="C322" s="7"/>
      <c r="D322" s="7"/>
      <c r="E322" s="7"/>
      <c r="F322" s="7"/>
      <c r="G322" s="7"/>
      <c r="H322" s="7"/>
      <c r="I322" s="7"/>
      <c r="J322" s="7"/>
      <c r="K322" s="7"/>
      <c r="L322" s="7"/>
      <c r="M322" s="7"/>
    </row>
    <row r="323" spans="1:13" x14ac:dyDescent="0.4">
      <c r="A323" s="4"/>
      <c r="B323" s="7"/>
      <c r="C323" s="7"/>
      <c r="D323" s="7"/>
      <c r="E323" s="7"/>
      <c r="F323" s="7"/>
      <c r="G323" s="7"/>
      <c r="H323" s="7"/>
      <c r="I323" s="7"/>
      <c r="J323" s="7"/>
      <c r="K323" s="7"/>
      <c r="L323" s="7"/>
      <c r="M323" s="7"/>
    </row>
    <row r="324" spans="1:13" x14ac:dyDescent="0.4">
      <c r="A324" s="4"/>
      <c r="B324" s="7"/>
      <c r="C324" s="7"/>
      <c r="D324" s="7"/>
      <c r="E324" s="7"/>
      <c r="F324" s="7"/>
      <c r="G324" s="7"/>
      <c r="H324" s="7"/>
      <c r="I324" s="7"/>
      <c r="J324" s="7"/>
      <c r="K324" s="7"/>
      <c r="L324" s="7"/>
      <c r="M324" s="7"/>
    </row>
    <row r="326" spans="1:13" x14ac:dyDescent="0.4">
      <c r="A326" s="3"/>
    </row>
    <row r="327" spans="1:13" x14ac:dyDescent="0.4">
      <c r="A327" s="3"/>
    </row>
    <row r="328" spans="1:13" x14ac:dyDescent="0.4">
      <c r="A328" s="3"/>
    </row>
    <row r="331" spans="1:13" x14ac:dyDescent="0.4">
      <c r="A331" s="2"/>
    </row>
    <row r="332" spans="1:13" x14ac:dyDescent="0.4">
      <c r="A332" s="3"/>
    </row>
    <row r="334" spans="1:13" x14ac:dyDescent="0.4">
      <c r="A334" s="4"/>
      <c r="B334" s="4"/>
    </row>
    <row r="335" spans="1:13" x14ac:dyDescent="0.4">
      <c r="A335" s="4"/>
      <c r="B335" s="4"/>
    </row>
    <row r="336" spans="1:13" x14ac:dyDescent="0.4">
      <c r="A336" s="4"/>
      <c r="B336" s="4"/>
    </row>
    <row r="338" spans="1:13" x14ac:dyDescent="0.4">
      <c r="A338" s="5"/>
      <c r="B338" s="6"/>
      <c r="C338" s="6"/>
      <c r="D338" s="6"/>
      <c r="E338" s="6"/>
      <c r="F338" s="6"/>
      <c r="G338" s="6"/>
      <c r="H338" s="6"/>
      <c r="I338" s="6"/>
      <c r="J338" s="6"/>
      <c r="K338" s="6"/>
      <c r="L338" s="6"/>
      <c r="M338" s="6"/>
    </row>
    <row r="339" spans="1:13" x14ac:dyDescent="0.4">
      <c r="A339" s="4"/>
      <c r="B339" s="7"/>
      <c r="C339" s="7"/>
      <c r="D339" s="7"/>
      <c r="E339" s="7"/>
      <c r="F339" s="7"/>
      <c r="G339" s="7"/>
      <c r="H339" s="7"/>
      <c r="I339" s="7"/>
      <c r="J339" s="7"/>
      <c r="K339" s="7"/>
      <c r="L339" s="7"/>
      <c r="M339" s="7"/>
    </row>
    <row r="340" spans="1:13" x14ac:dyDescent="0.4">
      <c r="A340" s="4"/>
      <c r="B340" s="7"/>
      <c r="C340" s="7"/>
      <c r="D340" s="7"/>
      <c r="E340" s="7"/>
      <c r="F340" s="7"/>
      <c r="G340" s="7"/>
      <c r="H340" s="7"/>
      <c r="I340" s="7"/>
      <c r="J340" s="7"/>
      <c r="K340" s="7"/>
      <c r="L340" s="7"/>
      <c r="M340" s="7"/>
    </row>
    <row r="341" spans="1:13" x14ac:dyDescent="0.4">
      <c r="A341" s="4"/>
      <c r="B341" s="7"/>
      <c r="C341" s="7"/>
      <c r="D341" s="7"/>
      <c r="E341" s="7"/>
      <c r="F341" s="7"/>
      <c r="G341" s="7"/>
      <c r="H341" s="7"/>
      <c r="I341" s="7"/>
      <c r="J341" s="7"/>
      <c r="K341" s="7"/>
      <c r="L341" s="7"/>
      <c r="M341" s="7"/>
    </row>
    <row r="342" spans="1:13" x14ac:dyDescent="0.4">
      <c r="A342" s="4"/>
      <c r="B342" s="7"/>
      <c r="C342" s="7"/>
      <c r="D342" s="7"/>
      <c r="E342" s="7"/>
      <c r="F342" s="7"/>
      <c r="G342" s="7"/>
      <c r="H342" s="7"/>
      <c r="I342" s="7"/>
      <c r="J342" s="7"/>
      <c r="K342" s="7"/>
      <c r="L342" s="7"/>
      <c r="M342" s="7"/>
    </row>
    <row r="343" spans="1:13" x14ac:dyDescent="0.4">
      <c r="A343" s="4"/>
      <c r="B343" s="7"/>
      <c r="C343" s="7"/>
      <c r="D343" s="7"/>
      <c r="E343" s="7"/>
      <c r="F343" s="7"/>
      <c r="G343" s="7"/>
      <c r="H343" s="7"/>
      <c r="I343" s="7"/>
      <c r="J343" s="7"/>
      <c r="K343" s="7"/>
      <c r="L343" s="7"/>
      <c r="M343" s="7"/>
    </row>
    <row r="344" spans="1:13" x14ac:dyDescent="0.4">
      <c r="A344" s="4"/>
      <c r="B344" s="7"/>
      <c r="C344" s="7"/>
      <c r="D344" s="7"/>
      <c r="E344" s="7"/>
      <c r="F344" s="7"/>
      <c r="G344" s="7"/>
      <c r="H344" s="7"/>
      <c r="I344" s="7"/>
      <c r="J344" s="7"/>
      <c r="K344" s="7"/>
      <c r="L344" s="7"/>
      <c r="M344" s="7"/>
    </row>
    <row r="345" spans="1:13" x14ac:dyDescent="0.4">
      <c r="A345" s="4"/>
      <c r="B345" s="7"/>
      <c r="C345" s="7"/>
      <c r="D345" s="7"/>
      <c r="E345" s="7"/>
      <c r="F345" s="7"/>
      <c r="G345" s="7"/>
      <c r="H345" s="7"/>
      <c r="I345" s="7"/>
      <c r="J345" s="7"/>
      <c r="K345" s="7"/>
      <c r="L345" s="7"/>
      <c r="M345" s="7"/>
    </row>
    <row r="346" spans="1:13" x14ac:dyDescent="0.4">
      <c r="A346" s="4"/>
      <c r="B346" s="7"/>
      <c r="C346" s="7"/>
      <c r="D346" s="7"/>
      <c r="E346" s="7"/>
      <c r="F346" s="7"/>
      <c r="G346" s="7"/>
      <c r="H346" s="7"/>
      <c r="I346" s="7"/>
      <c r="J346" s="7"/>
      <c r="K346" s="7"/>
      <c r="L346" s="7"/>
      <c r="M346" s="7"/>
    </row>
    <row r="347" spans="1:13" x14ac:dyDescent="0.4">
      <c r="A347" s="4"/>
      <c r="B347" s="7"/>
      <c r="C347" s="7"/>
      <c r="D347" s="7"/>
      <c r="E347" s="7"/>
      <c r="F347" s="7"/>
      <c r="G347" s="7"/>
      <c r="H347" s="7"/>
      <c r="I347" s="7"/>
      <c r="J347" s="7"/>
      <c r="K347" s="7"/>
      <c r="L347" s="7"/>
      <c r="M347" s="7"/>
    </row>
    <row r="348" spans="1:13" x14ac:dyDescent="0.4">
      <c r="A348" s="4"/>
      <c r="B348" s="7"/>
      <c r="C348" s="7"/>
      <c r="D348" s="7"/>
      <c r="E348" s="7"/>
      <c r="F348" s="7"/>
      <c r="G348" s="7"/>
      <c r="H348" s="7"/>
      <c r="I348" s="7"/>
      <c r="J348" s="7"/>
      <c r="K348" s="7"/>
      <c r="L348" s="7"/>
      <c r="M348" s="7"/>
    </row>
    <row r="349" spans="1:13" x14ac:dyDescent="0.4">
      <c r="A349" s="4"/>
      <c r="B349" s="7"/>
      <c r="C349" s="7"/>
      <c r="D349" s="7"/>
      <c r="E349" s="7"/>
      <c r="F349" s="7"/>
      <c r="G349" s="7"/>
      <c r="H349" s="7"/>
      <c r="I349" s="7"/>
      <c r="J349" s="7"/>
      <c r="K349" s="7"/>
      <c r="L349" s="7"/>
      <c r="M349" s="7"/>
    </row>
    <row r="350" spans="1:13" x14ac:dyDescent="0.4">
      <c r="A350" s="4"/>
      <c r="B350" s="7"/>
      <c r="C350" s="7"/>
      <c r="D350" s="7"/>
      <c r="E350" s="7"/>
      <c r="F350" s="7"/>
      <c r="G350" s="7"/>
      <c r="H350" s="7"/>
      <c r="I350" s="7"/>
      <c r="J350" s="7"/>
      <c r="K350" s="7"/>
      <c r="L350" s="7"/>
      <c r="M350" s="7"/>
    </row>
    <row r="351" spans="1:13" x14ac:dyDescent="0.4">
      <c r="A351" s="4"/>
      <c r="B351" s="7"/>
      <c r="C351" s="7"/>
      <c r="D351" s="7"/>
      <c r="E351" s="7"/>
      <c r="F351" s="7"/>
      <c r="G351" s="7"/>
      <c r="H351" s="7"/>
      <c r="I351" s="7"/>
      <c r="J351" s="7"/>
      <c r="K351" s="7"/>
      <c r="L351" s="7"/>
      <c r="M351" s="7"/>
    </row>
    <row r="352" spans="1:13" x14ac:dyDescent="0.4">
      <c r="A352" s="4"/>
      <c r="B352" s="7"/>
      <c r="C352" s="7"/>
      <c r="D352" s="7"/>
      <c r="E352" s="7"/>
      <c r="F352" s="7"/>
      <c r="G352" s="7"/>
      <c r="H352" s="7"/>
      <c r="I352" s="7"/>
      <c r="J352" s="7"/>
      <c r="K352" s="7"/>
      <c r="L352" s="7"/>
      <c r="M352" s="7"/>
    </row>
    <row r="353" spans="1:13" x14ac:dyDescent="0.4">
      <c r="A353" s="4"/>
      <c r="B353" s="7"/>
      <c r="C353" s="7"/>
      <c r="D353" s="7"/>
      <c r="E353" s="7"/>
      <c r="F353" s="7"/>
      <c r="G353" s="7"/>
      <c r="H353" s="7"/>
      <c r="I353" s="7"/>
      <c r="J353" s="7"/>
      <c r="K353" s="7"/>
      <c r="L353" s="7"/>
      <c r="M353" s="7"/>
    </row>
    <row r="354" spans="1:13" x14ac:dyDescent="0.4">
      <c r="A354" s="4"/>
      <c r="B354" s="7"/>
      <c r="C354" s="7"/>
      <c r="D354" s="7"/>
      <c r="E354" s="7"/>
      <c r="F354" s="7"/>
      <c r="G354" s="7"/>
      <c r="H354" s="7"/>
      <c r="I354" s="7"/>
      <c r="J354" s="7"/>
      <c r="K354" s="7"/>
      <c r="L354" s="7"/>
      <c r="M354" s="7"/>
    </row>
    <row r="356" spans="1:13" x14ac:dyDescent="0.4">
      <c r="A356" s="3"/>
    </row>
    <row r="357" spans="1:13" x14ac:dyDescent="0.4">
      <c r="A357" s="3"/>
    </row>
    <row r="358" spans="1:13" x14ac:dyDescent="0.4">
      <c r="A358" s="3"/>
    </row>
    <row r="361" spans="1:13" x14ac:dyDescent="0.4">
      <c r="A361" s="2"/>
    </row>
    <row r="362" spans="1:13" x14ac:dyDescent="0.4">
      <c r="A362" s="3"/>
    </row>
    <row r="364" spans="1:13" x14ac:dyDescent="0.4">
      <c r="A364" s="4"/>
      <c r="B364" s="4"/>
    </row>
    <row r="365" spans="1:13" x14ac:dyDescent="0.4">
      <c r="A365" s="4"/>
      <c r="B365" s="4"/>
    </row>
    <row r="366" spans="1:13" x14ac:dyDescent="0.4">
      <c r="A366" s="4"/>
      <c r="B366" s="4"/>
    </row>
    <row r="368" spans="1:13" x14ac:dyDescent="0.4">
      <c r="A368" s="5"/>
      <c r="B368" s="6"/>
      <c r="C368" s="6"/>
      <c r="D368" s="6"/>
      <c r="E368" s="6"/>
      <c r="F368" s="6"/>
      <c r="G368" s="6"/>
      <c r="H368" s="6"/>
      <c r="I368" s="6"/>
      <c r="J368" s="6"/>
      <c r="K368" s="6"/>
      <c r="L368" s="6"/>
      <c r="M368" s="6"/>
    </row>
    <row r="369" spans="1:13" x14ac:dyDescent="0.4">
      <c r="A369" s="4"/>
      <c r="B369" s="7"/>
      <c r="C369" s="7"/>
      <c r="D369" s="7"/>
      <c r="E369" s="7"/>
      <c r="F369" s="7"/>
      <c r="G369" s="7"/>
      <c r="H369" s="7"/>
      <c r="I369" s="7"/>
      <c r="J369" s="7"/>
      <c r="K369" s="7"/>
      <c r="L369" s="7"/>
      <c r="M369" s="7"/>
    </row>
    <row r="370" spans="1:13" x14ac:dyDescent="0.4">
      <c r="A370" s="4"/>
      <c r="B370" s="7"/>
      <c r="C370" s="7"/>
      <c r="D370" s="7"/>
      <c r="E370" s="7"/>
      <c r="F370" s="7"/>
      <c r="G370" s="7"/>
      <c r="H370" s="7"/>
      <c r="I370" s="7"/>
      <c r="J370" s="7"/>
      <c r="K370" s="7"/>
      <c r="L370" s="7"/>
      <c r="M370" s="7"/>
    </row>
    <row r="371" spans="1:13" x14ac:dyDescent="0.4">
      <c r="A371" s="4"/>
      <c r="B371" s="7"/>
      <c r="C371" s="7"/>
      <c r="D371" s="7"/>
      <c r="E371" s="7"/>
      <c r="F371" s="7"/>
      <c r="G371" s="7"/>
      <c r="H371" s="7"/>
      <c r="I371" s="7"/>
      <c r="J371" s="7"/>
      <c r="K371" s="7"/>
      <c r="L371" s="7"/>
      <c r="M371" s="7"/>
    </row>
    <row r="372" spans="1:13" x14ac:dyDescent="0.4">
      <c r="A372" s="4"/>
      <c r="B372" s="7"/>
      <c r="C372" s="7"/>
      <c r="D372" s="7"/>
      <c r="E372" s="7"/>
      <c r="F372" s="7"/>
      <c r="G372" s="7"/>
      <c r="H372" s="7"/>
      <c r="I372" s="7"/>
      <c r="J372" s="7"/>
      <c r="K372" s="7"/>
      <c r="L372" s="7"/>
      <c r="M372" s="7"/>
    </row>
    <row r="373" spans="1:13" x14ac:dyDescent="0.4">
      <c r="A373" s="4"/>
      <c r="B373" s="7"/>
      <c r="C373" s="7"/>
      <c r="D373" s="7"/>
      <c r="E373" s="7"/>
      <c r="F373" s="7"/>
      <c r="G373" s="7"/>
      <c r="H373" s="7"/>
      <c r="I373" s="7"/>
      <c r="J373" s="7"/>
      <c r="K373" s="7"/>
      <c r="L373" s="7"/>
      <c r="M373" s="7"/>
    </row>
    <row r="374" spans="1:13" x14ac:dyDescent="0.4">
      <c r="A374" s="4"/>
      <c r="B374" s="7"/>
      <c r="C374" s="7"/>
      <c r="D374" s="7"/>
      <c r="E374" s="7"/>
      <c r="F374" s="7"/>
      <c r="G374" s="7"/>
      <c r="H374" s="7"/>
      <c r="I374" s="7"/>
      <c r="J374" s="7"/>
      <c r="K374" s="7"/>
      <c r="L374" s="7"/>
      <c r="M374" s="7"/>
    </row>
    <row r="375" spans="1:13" x14ac:dyDescent="0.4">
      <c r="A375" s="4"/>
      <c r="B375" s="7"/>
      <c r="C375" s="7"/>
      <c r="D375" s="7"/>
      <c r="E375" s="7"/>
      <c r="F375" s="7"/>
      <c r="G375" s="7"/>
      <c r="H375" s="7"/>
      <c r="I375" s="7"/>
      <c r="J375" s="7"/>
      <c r="K375" s="7"/>
      <c r="L375" s="7"/>
      <c r="M375" s="7"/>
    </row>
    <row r="376" spans="1:13" x14ac:dyDescent="0.4">
      <c r="A376" s="4"/>
      <c r="B376" s="7"/>
      <c r="C376" s="7"/>
      <c r="D376" s="7"/>
      <c r="E376" s="7"/>
      <c r="F376" s="7"/>
      <c r="G376" s="7"/>
      <c r="H376" s="7"/>
      <c r="I376" s="7"/>
      <c r="J376" s="7"/>
      <c r="K376" s="7"/>
      <c r="L376" s="7"/>
      <c r="M376" s="7"/>
    </row>
    <row r="377" spans="1:13" x14ac:dyDescent="0.4">
      <c r="A377" s="4"/>
      <c r="B377" s="7"/>
      <c r="C377" s="7"/>
      <c r="D377" s="7"/>
      <c r="E377" s="7"/>
      <c r="F377" s="7"/>
      <c r="G377" s="7"/>
      <c r="H377" s="7"/>
      <c r="I377" s="7"/>
      <c r="J377" s="7"/>
      <c r="K377" s="7"/>
      <c r="L377" s="7"/>
      <c r="M377" s="7"/>
    </row>
    <row r="378" spans="1:13" x14ac:dyDescent="0.4">
      <c r="A378" s="4"/>
      <c r="B378" s="7"/>
      <c r="C378" s="7"/>
      <c r="D378" s="7"/>
      <c r="E378" s="7"/>
      <c r="F378" s="7"/>
      <c r="G378" s="7"/>
      <c r="H378" s="7"/>
      <c r="I378" s="7"/>
      <c r="J378" s="7"/>
      <c r="K378" s="7"/>
      <c r="L378" s="7"/>
      <c r="M378" s="7"/>
    </row>
    <row r="379" spans="1:13" x14ac:dyDescent="0.4">
      <c r="A379" s="4"/>
      <c r="B379" s="7"/>
      <c r="C379" s="7"/>
      <c r="D379" s="7"/>
      <c r="E379" s="7"/>
      <c r="F379" s="7"/>
      <c r="G379" s="7"/>
      <c r="H379" s="7"/>
      <c r="I379" s="7"/>
      <c r="J379" s="7"/>
      <c r="K379" s="7"/>
      <c r="L379" s="7"/>
      <c r="M379" s="7"/>
    </row>
    <row r="380" spans="1:13" x14ac:dyDescent="0.4">
      <c r="A380" s="4"/>
      <c r="B380" s="7"/>
      <c r="C380" s="7"/>
      <c r="D380" s="7"/>
      <c r="E380" s="7"/>
      <c r="F380" s="7"/>
      <c r="G380" s="7"/>
      <c r="H380" s="7"/>
      <c r="I380" s="7"/>
      <c r="J380" s="7"/>
      <c r="K380" s="7"/>
      <c r="L380" s="7"/>
      <c r="M380" s="7"/>
    </row>
    <row r="381" spans="1:13" x14ac:dyDescent="0.4">
      <c r="A381" s="4"/>
      <c r="B381" s="7"/>
      <c r="C381" s="7"/>
      <c r="D381" s="7"/>
      <c r="E381" s="7"/>
      <c r="F381" s="7"/>
      <c r="G381" s="7"/>
      <c r="H381" s="7"/>
      <c r="I381" s="7"/>
      <c r="J381" s="7"/>
      <c r="K381" s="7"/>
      <c r="L381" s="7"/>
      <c r="M381" s="7"/>
    </row>
    <row r="382" spans="1:13" x14ac:dyDescent="0.4">
      <c r="A382" s="4"/>
      <c r="B382" s="7"/>
      <c r="C382" s="7"/>
      <c r="D382" s="7"/>
      <c r="E382" s="7"/>
      <c r="F382" s="7"/>
      <c r="G382" s="7"/>
      <c r="H382" s="7"/>
      <c r="I382" s="7"/>
      <c r="J382" s="7"/>
      <c r="K382" s="7"/>
      <c r="L382" s="7"/>
      <c r="M382" s="7"/>
    </row>
    <row r="383" spans="1:13" x14ac:dyDescent="0.4">
      <c r="A383" s="4"/>
      <c r="B383" s="7"/>
      <c r="C383" s="7"/>
      <c r="D383" s="7"/>
      <c r="E383" s="7"/>
      <c r="F383" s="7"/>
      <c r="G383" s="7"/>
      <c r="H383" s="7"/>
      <c r="I383" s="7"/>
      <c r="J383" s="7"/>
      <c r="K383" s="7"/>
      <c r="L383" s="7"/>
      <c r="M383" s="7"/>
    </row>
    <row r="384" spans="1:13" x14ac:dyDescent="0.4">
      <c r="A384" s="4"/>
      <c r="B384" s="7"/>
      <c r="C384" s="7"/>
      <c r="D384" s="7"/>
      <c r="E384" s="7"/>
      <c r="F384" s="7"/>
      <c r="G384" s="7"/>
      <c r="H384" s="7"/>
      <c r="I384" s="7"/>
      <c r="J384" s="7"/>
      <c r="K384" s="7"/>
      <c r="L384" s="7"/>
      <c r="M384" s="7"/>
    </row>
    <row r="386" spans="1:13" x14ac:dyDescent="0.4">
      <c r="A386" s="3"/>
    </row>
    <row r="387" spans="1:13" x14ac:dyDescent="0.4">
      <c r="A387" s="3"/>
    </row>
    <row r="388" spans="1:13" x14ac:dyDescent="0.4">
      <c r="A388" s="3"/>
    </row>
    <row r="391" spans="1:13" x14ac:dyDescent="0.4">
      <c r="A391" s="2"/>
    </row>
    <row r="392" spans="1:13" x14ac:dyDescent="0.4">
      <c r="A392" s="3"/>
    </row>
    <row r="394" spans="1:13" x14ac:dyDescent="0.4">
      <c r="A394" s="4"/>
      <c r="B394" s="4"/>
    </row>
    <row r="395" spans="1:13" x14ac:dyDescent="0.4">
      <c r="A395" s="4"/>
      <c r="B395" s="4"/>
    </row>
    <row r="396" spans="1:13" x14ac:dyDescent="0.4">
      <c r="A396" s="4"/>
      <c r="B396" s="4"/>
    </row>
    <row r="398" spans="1:13" x14ac:dyDescent="0.4">
      <c r="A398" s="5"/>
      <c r="B398" s="6"/>
      <c r="C398" s="6"/>
      <c r="D398" s="6"/>
      <c r="E398" s="6"/>
      <c r="F398" s="6"/>
      <c r="G398" s="6"/>
      <c r="H398" s="6"/>
      <c r="I398" s="6"/>
      <c r="J398" s="6"/>
      <c r="K398" s="6"/>
      <c r="L398" s="6"/>
      <c r="M398" s="6"/>
    </row>
    <row r="399" spans="1:13" x14ac:dyDescent="0.4">
      <c r="A399" s="4"/>
      <c r="B399" s="7"/>
      <c r="C399" s="7"/>
      <c r="D399" s="7"/>
      <c r="E399" s="7"/>
      <c r="F399" s="7"/>
      <c r="G399" s="7"/>
      <c r="H399" s="7"/>
      <c r="I399" s="7"/>
      <c r="J399" s="7"/>
      <c r="K399" s="7"/>
      <c r="L399" s="7"/>
      <c r="M399" s="7"/>
    </row>
    <row r="400" spans="1:13" x14ac:dyDescent="0.4">
      <c r="A400" s="4"/>
      <c r="B400" s="7"/>
      <c r="C400" s="7"/>
      <c r="D400" s="7"/>
      <c r="E400" s="7"/>
      <c r="F400" s="7"/>
      <c r="G400" s="7"/>
      <c r="H400" s="7"/>
      <c r="I400" s="7"/>
      <c r="J400" s="7"/>
      <c r="K400" s="7"/>
      <c r="L400" s="7"/>
      <c r="M400" s="7"/>
    </row>
    <row r="401" spans="1:13" x14ac:dyDescent="0.4">
      <c r="A401" s="4"/>
      <c r="B401" s="7"/>
      <c r="C401" s="7"/>
      <c r="D401" s="7"/>
      <c r="E401" s="7"/>
      <c r="F401" s="7"/>
      <c r="G401" s="7"/>
      <c r="H401" s="7"/>
      <c r="I401" s="7"/>
      <c r="J401" s="7"/>
      <c r="K401" s="7"/>
      <c r="L401" s="7"/>
      <c r="M401" s="7"/>
    </row>
    <row r="402" spans="1:13" x14ac:dyDescent="0.4">
      <c r="A402" s="4"/>
      <c r="B402" s="7"/>
      <c r="C402" s="7"/>
      <c r="D402" s="7"/>
      <c r="E402" s="7"/>
      <c r="F402" s="7"/>
      <c r="G402" s="7"/>
      <c r="H402" s="7"/>
      <c r="I402" s="7"/>
      <c r="J402" s="7"/>
      <c r="K402" s="7"/>
      <c r="L402" s="7"/>
      <c r="M402" s="7"/>
    </row>
    <row r="403" spans="1:13" x14ac:dyDescent="0.4">
      <c r="A403" s="4"/>
      <c r="B403" s="7"/>
      <c r="C403" s="7"/>
      <c r="D403" s="7"/>
      <c r="E403" s="7"/>
      <c r="F403" s="7"/>
      <c r="G403" s="7"/>
      <c r="H403" s="7"/>
      <c r="I403" s="7"/>
      <c r="J403" s="7"/>
      <c r="K403" s="7"/>
      <c r="L403" s="7"/>
      <c r="M403" s="7"/>
    </row>
    <row r="404" spans="1:13" x14ac:dyDescent="0.4">
      <c r="A404" s="4"/>
      <c r="B404" s="7"/>
      <c r="C404" s="7"/>
      <c r="D404" s="7"/>
      <c r="E404" s="7"/>
      <c r="F404" s="7"/>
      <c r="G404" s="7"/>
      <c r="H404" s="7"/>
      <c r="I404" s="7"/>
      <c r="J404" s="7"/>
      <c r="K404" s="7"/>
      <c r="L404" s="7"/>
      <c r="M404" s="7"/>
    </row>
    <row r="405" spans="1:13" x14ac:dyDescent="0.4">
      <c r="A405" s="4"/>
      <c r="B405" s="7"/>
      <c r="C405" s="7"/>
      <c r="D405" s="7"/>
      <c r="E405" s="7"/>
      <c r="F405" s="7"/>
      <c r="G405" s="7"/>
      <c r="H405" s="7"/>
      <c r="I405" s="7"/>
      <c r="J405" s="7"/>
      <c r="K405" s="7"/>
      <c r="L405" s="7"/>
      <c r="M405" s="7"/>
    </row>
    <row r="406" spans="1:13" x14ac:dyDescent="0.4">
      <c r="A406" s="4"/>
      <c r="B406" s="7"/>
      <c r="C406" s="7"/>
      <c r="D406" s="7"/>
      <c r="E406" s="7"/>
      <c r="F406" s="7"/>
      <c r="G406" s="7"/>
      <c r="H406" s="7"/>
      <c r="I406" s="7"/>
      <c r="J406" s="7"/>
      <c r="K406" s="7"/>
      <c r="L406" s="7"/>
      <c r="M406" s="7"/>
    </row>
    <row r="407" spans="1:13" x14ac:dyDescent="0.4">
      <c r="A407" s="4"/>
      <c r="B407" s="7"/>
      <c r="C407" s="7"/>
      <c r="D407" s="7"/>
      <c r="E407" s="7"/>
      <c r="F407" s="7"/>
      <c r="G407" s="7"/>
      <c r="H407" s="7"/>
      <c r="I407" s="7"/>
      <c r="J407" s="7"/>
      <c r="K407" s="7"/>
      <c r="L407" s="7"/>
      <c r="M407" s="7"/>
    </row>
    <row r="408" spans="1:13" x14ac:dyDescent="0.4">
      <c r="A408" s="4"/>
      <c r="B408" s="7"/>
      <c r="C408" s="7"/>
      <c r="D408" s="7"/>
      <c r="E408" s="7"/>
      <c r="F408" s="7"/>
      <c r="G408" s="7"/>
      <c r="H408" s="7"/>
      <c r="I408" s="7"/>
      <c r="J408" s="7"/>
      <c r="K408" s="7"/>
      <c r="L408" s="7"/>
      <c r="M408" s="7"/>
    </row>
    <row r="409" spans="1:13" x14ac:dyDescent="0.4">
      <c r="A409" s="4"/>
      <c r="B409" s="7"/>
      <c r="C409" s="7"/>
      <c r="D409" s="7"/>
      <c r="E409" s="7"/>
      <c r="F409" s="7"/>
      <c r="G409" s="7"/>
      <c r="H409" s="7"/>
      <c r="I409" s="7"/>
      <c r="J409" s="7"/>
      <c r="K409" s="7"/>
      <c r="L409" s="7"/>
      <c r="M409" s="7"/>
    </row>
    <row r="410" spans="1:13" x14ac:dyDescent="0.4">
      <c r="A410" s="4"/>
      <c r="B410" s="7"/>
      <c r="C410" s="7"/>
      <c r="D410" s="7"/>
      <c r="E410" s="7"/>
      <c r="F410" s="7"/>
      <c r="G410" s="7"/>
      <c r="H410" s="7"/>
      <c r="I410" s="7"/>
      <c r="J410" s="7"/>
      <c r="K410" s="7"/>
      <c r="L410" s="7"/>
      <c r="M410" s="7"/>
    </row>
    <row r="411" spans="1:13" x14ac:dyDescent="0.4">
      <c r="A411" s="4"/>
      <c r="B411" s="7"/>
      <c r="C411" s="7"/>
      <c r="D411" s="7"/>
      <c r="E411" s="7"/>
      <c r="F411" s="7"/>
      <c r="G411" s="7"/>
      <c r="H411" s="7"/>
      <c r="I411" s="7"/>
      <c r="J411" s="7"/>
      <c r="K411" s="7"/>
      <c r="L411" s="7"/>
      <c r="M411" s="7"/>
    </row>
    <row r="412" spans="1:13" x14ac:dyDescent="0.4">
      <c r="A412" s="4"/>
      <c r="B412" s="7"/>
      <c r="C412" s="7"/>
      <c r="D412" s="7"/>
      <c r="E412" s="7"/>
      <c r="F412" s="7"/>
      <c r="G412" s="7"/>
      <c r="H412" s="7"/>
      <c r="I412" s="7"/>
      <c r="J412" s="7"/>
      <c r="K412" s="7"/>
      <c r="L412" s="7"/>
      <c r="M412" s="7"/>
    </row>
    <row r="413" spans="1:13" x14ac:dyDescent="0.4">
      <c r="A413" s="4"/>
      <c r="B413" s="7"/>
      <c r="C413" s="7"/>
      <c r="D413" s="7"/>
      <c r="E413" s="7"/>
      <c r="F413" s="7"/>
      <c r="G413" s="7"/>
      <c r="H413" s="7"/>
      <c r="I413" s="7"/>
      <c r="J413" s="7"/>
      <c r="K413" s="7"/>
      <c r="L413" s="7"/>
      <c r="M413" s="7"/>
    </row>
    <row r="414" spans="1:13" x14ac:dyDescent="0.4">
      <c r="A414" s="4"/>
      <c r="B414" s="7"/>
      <c r="C414" s="7"/>
      <c r="D414" s="7"/>
      <c r="E414" s="7"/>
      <c r="F414" s="7"/>
      <c r="G414" s="7"/>
      <c r="H414" s="7"/>
      <c r="I414" s="7"/>
      <c r="J414" s="7"/>
      <c r="K414" s="7"/>
      <c r="L414" s="7"/>
      <c r="M414" s="7"/>
    </row>
    <row r="416" spans="1:13" x14ac:dyDescent="0.4">
      <c r="A416" s="3"/>
    </row>
    <row r="417" spans="1:13" x14ac:dyDescent="0.4">
      <c r="A417" s="3"/>
    </row>
    <row r="418" spans="1:13" x14ac:dyDescent="0.4">
      <c r="A418" s="3"/>
    </row>
    <row r="421" spans="1:13" x14ac:dyDescent="0.4">
      <c r="A421" s="2"/>
    </row>
    <row r="422" spans="1:13" x14ac:dyDescent="0.4">
      <c r="A422" s="3"/>
    </row>
    <row r="424" spans="1:13" x14ac:dyDescent="0.4">
      <c r="A424" s="4"/>
      <c r="B424" s="4"/>
    </row>
    <row r="425" spans="1:13" x14ac:dyDescent="0.4">
      <c r="A425" s="4"/>
      <c r="B425" s="4"/>
    </row>
    <row r="426" spans="1:13" x14ac:dyDescent="0.4">
      <c r="A426" s="4"/>
      <c r="B426" s="4"/>
    </row>
    <row r="428" spans="1:13" x14ac:dyDescent="0.4">
      <c r="A428" s="5"/>
      <c r="B428" s="6"/>
      <c r="C428" s="6"/>
      <c r="D428" s="6"/>
      <c r="E428" s="6"/>
      <c r="F428" s="6"/>
      <c r="G428" s="6"/>
      <c r="H428" s="6"/>
      <c r="I428" s="6"/>
      <c r="J428" s="6"/>
      <c r="K428" s="6"/>
      <c r="L428" s="6"/>
      <c r="M428" s="6"/>
    </row>
    <row r="429" spans="1:13" x14ac:dyDescent="0.4">
      <c r="A429" s="4"/>
      <c r="B429" s="7"/>
      <c r="C429" s="7"/>
      <c r="D429" s="7"/>
      <c r="E429" s="7"/>
      <c r="F429" s="7"/>
      <c r="G429" s="7"/>
      <c r="H429" s="7"/>
      <c r="I429" s="7"/>
      <c r="J429" s="7"/>
      <c r="K429" s="7"/>
      <c r="L429" s="7"/>
      <c r="M429" s="7"/>
    </row>
    <row r="430" spans="1:13" x14ac:dyDescent="0.4">
      <c r="A430" s="4"/>
      <c r="B430" s="7"/>
      <c r="C430" s="7"/>
      <c r="D430" s="7"/>
      <c r="E430" s="7"/>
      <c r="F430" s="7"/>
      <c r="G430" s="7"/>
      <c r="H430" s="7"/>
      <c r="I430" s="7"/>
      <c r="J430" s="7"/>
      <c r="K430" s="7"/>
      <c r="L430" s="7"/>
      <c r="M430" s="7"/>
    </row>
    <row r="431" spans="1:13" x14ac:dyDescent="0.4">
      <c r="A431" s="4"/>
      <c r="B431" s="7"/>
      <c r="C431" s="7"/>
      <c r="D431" s="7"/>
      <c r="E431" s="7"/>
      <c r="F431" s="7"/>
      <c r="G431" s="7"/>
      <c r="H431" s="7"/>
      <c r="I431" s="7"/>
      <c r="J431" s="7"/>
      <c r="K431" s="7"/>
      <c r="L431" s="7"/>
      <c r="M431" s="7"/>
    </row>
    <row r="432" spans="1:13" x14ac:dyDescent="0.4">
      <c r="A432" s="4"/>
      <c r="B432" s="7"/>
      <c r="C432" s="7"/>
      <c r="D432" s="7"/>
      <c r="E432" s="7"/>
      <c r="F432" s="7"/>
      <c r="G432" s="7"/>
      <c r="H432" s="7"/>
      <c r="I432" s="7"/>
      <c r="J432" s="7"/>
      <c r="K432" s="7"/>
      <c r="L432" s="7"/>
      <c r="M432" s="7"/>
    </row>
    <row r="433" spans="1:13" x14ac:dyDescent="0.4">
      <c r="A433" s="4"/>
      <c r="B433" s="7"/>
      <c r="C433" s="7"/>
      <c r="D433" s="7"/>
      <c r="E433" s="7"/>
      <c r="F433" s="7"/>
      <c r="G433" s="7"/>
      <c r="H433" s="7"/>
      <c r="I433" s="7"/>
      <c r="J433" s="7"/>
      <c r="K433" s="7"/>
      <c r="L433" s="7"/>
      <c r="M433" s="7"/>
    </row>
    <row r="434" spans="1:13" x14ac:dyDescent="0.4">
      <c r="A434" s="4"/>
      <c r="B434" s="7"/>
      <c r="C434" s="7"/>
      <c r="D434" s="7"/>
      <c r="E434" s="7"/>
      <c r="F434" s="7"/>
      <c r="G434" s="7"/>
      <c r="H434" s="7"/>
      <c r="I434" s="7"/>
      <c r="J434" s="7"/>
      <c r="K434" s="7"/>
      <c r="L434" s="7"/>
      <c r="M434" s="7"/>
    </row>
    <row r="435" spans="1:13" x14ac:dyDescent="0.4">
      <c r="A435" s="4"/>
      <c r="B435" s="7"/>
      <c r="C435" s="7"/>
      <c r="D435" s="7"/>
      <c r="E435" s="7"/>
      <c r="F435" s="7"/>
      <c r="G435" s="7"/>
      <c r="H435" s="7"/>
      <c r="I435" s="7"/>
      <c r="J435" s="7"/>
      <c r="K435" s="7"/>
      <c r="L435" s="7"/>
      <c r="M435" s="7"/>
    </row>
    <row r="436" spans="1:13" x14ac:dyDescent="0.4">
      <c r="A436" s="4"/>
      <c r="B436" s="7"/>
      <c r="C436" s="7"/>
      <c r="D436" s="7"/>
      <c r="E436" s="7"/>
      <c r="F436" s="7"/>
      <c r="G436" s="7"/>
      <c r="H436" s="7"/>
      <c r="I436" s="7"/>
      <c r="J436" s="7"/>
      <c r="K436" s="7"/>
      <c r="L436" s="7"/>
      <c r="M436" s="7"/>
    </row>
    <row r="437" spans="1:13" x14ac:dyDescent="0.4">
      <c r="A437" s="4"/>
      <c r="B437" s="7"/>
      <c r="C437" s="7"/>
      <c r="D437" s="7"/>
      <c r="E437" s="7"/>
      <c r="F437" s="7"/>
      <c r="G437" s="7"/>
      <c r="H437" s="7"/>
      <c r="I437" s="7"/>
      <c r="J437" s="7"/>
      <c r="K437" s="7"/>
      <c r="L437" s="7"/>
      <c r="M437" s="7"/>
    </row>
    <row r="438" spans="1:13" x14ac:dyDescent="0.4">
      <c r="A438" s="4"/>
      <c r="B438" s="7"/>
      <c r="C438" s="7"/>
      <c r="D438" s="7"/>
      <c r="E438" s="7"/>
      <c r="F438" s="7"/>
      <c r="G438" s="7"/>
      <c r="H438" s="7"/>
      <c r="I438" s="7"/>
      <c r="J438" s="7"/>
      <c r="K438" s="7"/>
      <c r="L438" s="7"/>
      <c r="M438" s="7"/>
    </row>
    <row r="439" spans="1:13" x14ac:dyDescent="0.4">
      <c r="A439" s="4"/>
      <c r="B439" s="7"/>
      <c r="C439" s="7"/>
      <c r="D439" s="7"/>
      <c r="E439" s="7"/>
      <c r="F439" s="7"/>
      <c r="G439" s="7"/>
      <c r="H439" s="7"/>
      <c r="I439" s="7"/>
      <c r="J439" s="7"/>
      <c r="K439" s="7"/>
      <c r="L439" s="7"/>
      <c r="M439" s="7"/>
    </row>
    <row r="440" spans="1:13" x14ac:dyDescent="0.4">
      <c r="A440" s="4"/>
      <c r="B440" s="7"/>
      <c r="C440" s="7"/>
      <c r="D440" s="7"/>
      <c r="E440" s="7"/>
      <c r="F440" s="7"/>
      <c r="G440" s="7"/>
      <c r="H440" s="7"/>
      <c r="I440" s="7"/>
      <c r="J440" s="7"/>
      <c r="K440" s="7"/>
      <c r="L440" s="7"/>
      <c r="M440" s="7"/>
    </row>
    <row r="441" spans="1:13" x14ac:dyDescent="0.4">
      <c r="A441" s="4"/>
      <c r="B441" s="7"/>
      <c r="C441" s="7"/>
      <c r="D441" s="7"/>
      <c r="E441" s="7"/>
      <c r="F441" s="7"/>
      <c r="G441" s="7"/>
      <c r="H441" s="7"/>
      <c r="I441" s="7"/>
      <c r="J441" s="7"/>
      <c r="K441" s="7"/>
      <c r="L441" s="7"/>
      <c r="M441" s="7"/>
    </row>
    <row r="442" spans="1:13" x14ac:dyDescent="0.4">
      <c r="A442" s="4"/>
      <c r="B442" s="7"/>
      <c r="C442" s="7"/>
      <c r="D442" s="7"/>
      <c r="E442" s="7"/>
      <c r="F442" s="7"/>
      <c r="G442" s="7"/>
      <c r="H442" s="7"/>
      <c r="I442" s="7"/>
      <c r="J442" s="7"/>
      <c r="K442" s="7"/>
      <c r="L442" s="7"/>
      <c r="M442" s="7"/>
    </row>
    <row r="443" spans="1:13" x14ac:dyDescent="0.4">
      <c r="A443" s="4"/>
      <c r="B443" s="7"/>
      <c r="C443" s="7"/>
      <c r="D443" s="7"/>
      <c r="E443" s="7"/>
      <c r="F443" s="7"/>
      <c r="G443" s="7"/>
      <c r="H443" s="7"/>
      <c r="I443" s="7"/>
      <c r="J443" s="7"/>
      <c r="K443" s="7"/>
      <c r="L443" s="7"/>
      <c r="M443" s="7"/>
    </row>
    <row r="444" spans="1:13" x14ac:dyDescent="0.4">
      <c r="A444" s="4"/>
      <c r="B444" s="7"/>
      <c r="C444" s="7"/>
      <c r="D444" s="7"/>
      <c r="E444" s="7"/>
      <c r="F444" s="7"/>
      <c r="G444" s="7"/>
      <c r="H444" s="7"/>
      <c r="I444" s="7"/>
      <c r="J444" s="7"/>
      <c r="K444" s="7"/>
      <c r="L444" s="7"/>
      <c r="M444" s="7"/>
    </row>
    <row r="446" spans="1:13" x14ac:dyDescent="0.4">
      <c r="A446" s="3"/>
    </row>
    <row r="447" spans="1:13" x14ac:dyDescent="0.4">
      <c r="A447" s="3"/>
    </row>
    <row r="448" spans="1:13" x14ac:dyDescent="0.4">
      <c r="A448" s="3"/>
    </row>
    <row r="451" spans="1:13" x14ac:dyDescent="0.4">
      <c r="A451" s="2"/>
    </row>
    <row r="452" spans="1:13" x14ac:dyDescent="0.4">
      <c r="A452" s="3"/>
    </row>
    <row r="454" spans="1:13" x14ac:dyDescent="0.4">
      <c r="A454" s="4"/>
      <c r="B454" s="4"/>
    </row>
    <row r="455" spans="1:13" x14ac:dyDescent="0.4">
      <c r="A455" s="4"/>
      <c r="B455" s="4"/>
    </row>
    <row r="456" spans="1:13" x14ac:dyDescent="0.4">
      <c r="A456" s="4"/>
      <c r="B456" s="4"/>
    </row>
    <row r="458" spans="1:13" x14ac:dyDescent="0.4">
      <c r="A458" s="5"/>
      <c r="B458" s="6"/>
      <c r="C458" s="6"/>
      <c r="D458" s="6"/>
      <c r="E458" s="6"/>
      <c r="F458" s="6"/>
      <c r="G458" s="6"/>
      <c r="H458" s="6"/>
      <c r="I458" s="6"/>
      <c r="J458" s="6"/>
      <c r="K458" s="6"/>
      <c r="L458" s="6"/>
      <c r="M458" s="6"/>
    </row>
    <row r="459" spans="1:13" x14ac:dyDescent="0.4">
      <c r="A459" s="4"/>
      <c r="B459" s="7"/>
      <c r="C459" s="7"/>
      <c r="D459" s="7"/>
      <c r="E459" s="7"/>
      <c r="F459" s="7"/>
      <c r="G459" s="7"/>
      <c r="H459" s="7"/>
      <c r="I459" s="7"/>
      <c r="J459" s="7"/>
      <c r="K459" s="7"/>
      <c r="L459" s="7"/>
      <c r="M459" s="7"/>
    </row>
    <row r="460" spans="1:13" x14ac:dyDescent="0.4">
      <c r="A460" s="4"/>
      <c r="B460" s="7"/>
      <c r="C460" s="7"/>
      <c r="D460" s="7"/>
      <c r="E460" s="7"/>
      <c r="F460" s="7"/>
      <c r="G460" s="7"/>
      <c r="H460" s="7"/>
      <c r="I460" s="7"/>
      <c r="J460" s="7"/>
      <c r="K460" s="7"/>
      <c r="L460" s="7"/>
      <c r="M460" s="7"/>
    </row>
    <row r="461" spans="1:13" x14ac:dyDescent="0.4">
      <c r="A461" s="4"/>
      <c r="B461" s="7"/>
      <c r="C461" s="7"/>
      <c r="D461" s="7"/>
      <c r="E461" s="7"/>
      <c r="F461" s="7"/>
      <c r="G461" s="7"/>
      <c r="H461" s="7"/>
      <c r="I461" s="7"/>
      <c r="J461" s="7"/>
      <c r="K461" s="7"/>
      <c r="L461" s="7"/>
      <c r="M461" s="7"/>
    </row>
    <row r="462" spans="1:13" x14ac:dyDescent="0.4">
      <c r="A462" s="4"/>
      <c r="B462" s="7"/>
      <c r="C462" s="7"/>
      <c r="D462" s="7"/>
      <c r="E462" s="7"/>
      <c r="F462" s="7"/>
      <c r="G462" s="7"/>
      <c r="H462" s="7"/>
      <c r="I462" s="7"/>
      <c r="J462" s="7"/>
      <c r="K462" s="7"/>
      <c r="L462" s="7"/>
      <c r="M462" s="7"/>
    </row>
    <row r="463" spans="1:13" x14ac:dyDescent="0.4">
      <c r="A463" s="4"/>
      <c r="B463" s="7"/>
      <c r="C463" s="7"/>
      <c r="D463" s="7"/>
      <c r="E463" s="7"/>
      <c r="F463" s="7"/>
      <c r="G463" s="7"/>
      <c r="H463" s="7"/>
      <c r="I463" s="7"/>
      <c r="J463" s="7"/>
      <c r="K463" s="7"/>
      <c r="L463" s="7"/>
      <c r="M463" s="7"/>
    </row>
    <row r="464" spans="1:13" x14ac:dyDescent="0.4">
      <c r="A464" s="4"/>
      <c r="B464" s="7"/>
      <c r="C464" s="7"/>
      <c r="D464" s="7"/>
      <c r="E464" s="7"/>
      <c r="F464" s="7"/>
      <c r="G464" s="7"/>
      <c r="H464" s="7"/>
      <c r="I464" s="7"/>
      <c r="J464" s="7"/>
      <c r="K464" s="7"/>
      <c r="L464" s="7"/>
      <c r="M464" s="7"/>
    </row>
    <row r="465" spans="1:13" x14ac:dyDescent="0.4">
      <c r="A465" s="4"/>
      <c r="B465" s="7"/>
      <c r="C465" s="7"/>
      <c r="D465" s="7"/>
      <c r="E465" s="7"/>
      <c r="F465" s="7"/>
      <c r="G465" s="7"/>
      <c r="H465" s="7"/>
      <c r="I465" s="7"/>
      <c r="J465" s="7"/>
      <c r="K465" s="7"/>
      <c r="L465" s="7"/>
      <c r="M465" s="7"/>
    </row>
    <row r="466" spans="1:13" x14ac:dyDescent="0.4">
      <c r="A466" s="4"/>
      <c r="B466" s="7"/>
      <c r="C466" s="7"/>
      <c r="D466" s="7"/>
      <c r="E466" s="7"/>
      <c r="F466" s="7"/>
      <c r="G466" s="7"/>
      <c r="H466" s="7"/>
      <c r="I466" s="7"/>
      <c r="J466" s="7"/>
      <c r="K466" s="7"/>
      <c r="L466" s="7"/>
      <c r="M466" s="7"/>
    </row>
    <row r="467" spans="1:13" x14ac:dyDescent="0.4">
      <c r="A467" s="4"/>
      <c r="B467" s="7"/>
      <c r="C467" s="7"/>
      <c r="D467" s="7"/>
      <c r="E467" s="7"/>
      <c r="F467" s="7"/>
      <c r="G467" s="7"/>
      <c r="H467" s="7"/>
      <c r="I467" s="7"/>
      <c r="J467" s="7"/>
      <c r="K467" s="7"/>
      <c r="L467" s="7"/>
      <c r="M467" s="7"/>
    </row>
    <row r="468" spans="1:13" x14ac:dyDescent="0.4">
      <c r="A468" s="4"/>
      <c r="B468" s="7"/>
      <c r="C468" s="7"/>
      <c r="D468" s="7"/>
      <c r="E468" s="7"/>
      <c r="F468" s="7"/>
      <c r="G468" s="7"/>
      <c r="H468" s="7"/>
      <c r="I468" s="7"/>
      <c r="J468" s="7"/>
      <c r="K468" s="7"/>
      <c r="L468" s="7"/>
      <c r="M468" s="7"/>
    </row>
    <row r="469" spans="1:13" x14ac:dyDescent="0.4">
      <c r="A469" s="4"/>
      <c r="B469" s="7"/>
      <c r="C469" s="7"/>
      <c r="D469" s="7"/>
      <c r="E469" s="7"/>
      <c r="F469" s="7"/>
      <c r="G469" s="7"/>
      <c r="H469" s="7"/>
      <c r="I469" s="7"/>
      <c r="J469" s="7"/>
      <c r="K469" s="7"/>
      <c r="L469" s="7"/>
      <c r="M469" s="7"/>
    </row>
    <row r="470" spans="1:13" x14ac:dyDescent="0.4">
      <c r="A470" s="4"/>
      <c r="B470" s="7"/>
      <c r="C470" s="7"/>
      <c r="D470" s="7"/>
      <c r="E470" s="7"/>
      <c r="F470" s="7"/>
      <c r="G470" s="7"/>
      <c r="H470" s="7"/>
      <c r="I470" s="7"/>
      <c r="J470" s="7"/>
      <c r="K470" s="7"/>
      <c r="L470" s="7"/>
      <c r="M470" s="7"/>
    </row>
    <row r="471" spans="1:13" x14ac:dyDescent="0.4">
      <c r="A471" s="4"/>
      <c r="B471" s="7"/>
      <c r="C471" s="7"/>
      <c r="D471" s="7"/>
      <c r="E471" s="7"/>
      <c r="F471" s="7"/>
      <c r="G471" s="7"/>
      <c r="H471" s="7"/>
      <c r="I471" s="7"/>
      <c r="J471" s="7"/>
      <c r="K471" s="7"/>
      <c r="L471" s="7"/>
      <c r="M471" s="7"/>
    </row>
    <row r="472" spans="1:13" x14ac:dyDescent="0.4">
      <c r="A472" s="4"/>
      <c r="B472" s="7"/>
      <c r="C472" s="7"/>
      <c r="D472" s="7"/>
      <c r="E472" s="7"/>
      <c r="F472" s="7"/>
      <c r="G472" s="7"/>
      <c r="H472" s="7"/>
      <c r="I472" s="7"/>
      <c r="J472" s="7"/>
      <c r="K472" s="7"/>
      <c r="L472" s="7"/>
      <c r="M472" s="7"/>
    </row>
    <row r="473" spans="1:13" x14ac:dyDescent="0.4">
      <c r="A473" s="4"/>
      <c r="B473" s="7"/>
      <c r="C473" s="7"/>
      <c r="D473" s="7"/>
      <c r="E473" s="7"/>
      <c r="F473" s="7"/>
      <c r="G473" s="7"/>
      <c r="H473" s="7"/>
      <c r="I473" s="7"/>
      <c r="J473" s="7"/>
      <c r="K473" s="7"/>
      <c r="L473" s="7"/>
      <c r="M473" s="7"/>
    </row>
    <row r="474" spans="1:13" x14ac:dyDescent="0.4">
      <c r="A474" s="4"/>
      <c r="B474" s="7"/>
      <c r="C474" s="7"/>
      <c r="D474" s="7"/>
      <c r="E474" s="7"/>
      <c r="F474" s="7"/>
      <c r="G474" s="7"/>
      <c r="H474" s="7"/>
      <c r="I474" s="7"/>
      <c r="J474" s="7"/>
      <c r="K474" s="7"/>
      <c r="L474" s="7"/>
      <c r="M474" s="7"/>
    </row>
    <row r="476" spans="1:13" x14ac:dyDescent="0.4">
      <c r="A476" s="3"/>
    </row>
    <row r="477" spans="1:13" x14ac:dyDescent="0.4">
      <c r="A477" s="3"/>
    </row>
    <row r="478" spans="1:13" x14ac:dyDescent="0.4">
      <c r="A478" s="3"/>
    </row>
    <row r="481" spans="1:13" x14ac:dyDescent="0.4">
      <c r="A481" s="2"/>
    </row>
    <row r="482" spans="1:13" x14ac:dyDescent="0.4">
      <c r="A482" s="3"/>
    </row>
    <row r="484" spans="1:13" x14ac:dyDescent="0.4">
      <c r="A484" s="4"/>
      <c r="B484" s="4"/>
    </row>
    <row r="485" spans="1:13" x14ac:dyDescent="0.4">
      <c r="A485" s="4"/>
      <c r="B485" s="4"/>
    </row>
    <row r="486" spans="1:13" x14ac:dyDescent="0.4">
      <c r="A486" s="4"/>
      <c r="B486" s="4"/>
    </row>
    <row r="488" spans="1:13" x14ac:dyDescent="0.4">
      <c r="A488" s="5"/>
      <c r="B488" s="6"/>
      <c r="C488" s="6"/>
      <c r="D488" s="6"/>
      <c r="E488" s="6"/>
      <c r="F488" s="6"/>
      <c r="G488" s="6"/>
      <c r="H488" s="6"/>
      <c r="I488" s="6"/>
      <c r="J488" s="6"/>
      <c r="K488" s="6"/>
      <c r="L488" s="6"/>
      <c r="M488" s="6"/>
    </row>
    <row r="489" spans="1:13" x14ac:dyDescent="0.4">
      <c r="A489" s="4"/>
      <c r="B489" s="7"/>
      <c r="C489" s="7"/>
      <c r="D489" s="7"/>
      <c r="E489" s="7"/>
      <c r="F489" s="7"/>
      <c r="G489" s="7"/>
      <c r="H489" s="7"/>
      <c r="I489" s="7"/>
      <c r="J489" s="7"/>
      <c r="K489" s="7"/>
      <c r="L489" s="7"/>
      <c r="M489" s="7"/>
    </row>
    <row r="490" spans="1:13" x14ac:dyDescent="0.4">
      <c r="A490" s="4"/>
      <c r="B490" s="7"/>
      <c r="C490" s="7"/>
      <c r="D490" s="7"/>
      <c r="E490" s="7"/>
      <c r="F490" s="7"/>
      <c r="G490" s="7"/>
      <c r="H490" s="7"/>
      <c r="I490" s="7"/>
      <c r="J490" s="7"/>
      <c r="K490" s="7"/>
      <c r="L490" s="7"/>
      <c r="M490" s="7"/>
    </row>
    <row r="491" spans="1:13" x14ac:dyDescent="0.4">
      <c r="A491" s="4"/>
      <c r="B491" s="7"/>
      <c r="C491" s="7"/>
      <c r="D491" s="7"/>
      <c r="E491" s="7"/>
      <c r="F491" s="7"/>
      <c r="G491" s="7"/>
      <c r="H491" s="7"/>
      <c r="I491" s="7"/>
      <c r="J491" s="7"/>
      <c r="K491" s="7"/>
      <c r="L491" s="7"/>
      <c r="M491" s="7"/>
    </row>
    <row r="492" spans="1:13" x14ac:dyDescent="0.4">
      <c r="A492" s="4"/>
      <c r="B492" s="7"/>
      <c r="C492" s="7"/>
      <c r="D492" s="7"/>
      <c r="E492" s="7"/>
      <c r="F492" s="7"/>
      <c r="G492" s="7"/>
      <c r="H492" s="7"/>
      <c r="I492" s="7"/>
      <c r="J492" s="7"/>
      <c r="K492" s="7"/>
      <c r="L492" s="7"/>
      <c r="M492" s="7"/>
    </row>
    <row r="493" spans="1:13" x14ac:dyDescent="0.4">
      <c r="A493" s="4"/>
      <c r="B493" s="7"/>
      <c r="C493" s="7"/>
      <c r="D493" s="7"/>
      <c r="E493" s="7"/>
      <c r="F493" s="7"/>
      <c r="G493" s="7"/>
      <c r="H493" s="7"/>
      <c r="I493" s="7"/>
      <c r="J493" s="7"/>
      <c r="K493" s="7"/>
      <c r="L493" s="7"/>
      <c r="M493" s="7"/>
    </row>
    <row r="494" spans="1:13" x14ac:dyDescent="0.4">
      <c r="A494" s="4"/>
      <c r="B494" s="7"/>
      <c r="C494" s="7"/>
      <c r="D494" s="7"/>
      <c r="E494" s="7"/>
      <c r="F494" s="7"/>
      <c r="G494" s="7"/>
      <c r="H494" s="7"/>
      <c r="I494" s="7"/>
      <c r="J494" s="7"/>
      <c r="K494" s="7"/>
      <c r="L494" s="7"/>
      <c r="M494" s="7"/>
    </row>
    <row r="495" spans="1:13" x14ac:dyDescent="0.4">
      <c r="A495" s="4"/>
      <c r="B495" s="7"/>
      <c r="C495" s="7"/>
      <c r="D495" s="7"/>
      <c r="E495" s="7"/>
      <c r="F495" s="7"/>
      <c r="G495" s="7"/>
      <c r="H495" s="7"/>
      <c r="I495" s="7"/>
      <c r="J495" s="7"/>
      <c r="K495" s="7"/>
      <c r="L495" s="7"/>
      <c r="M495" s="7"/>
    </row>
    <row r="496" spans="1:13" x14ac:dyDescent="0.4">
      <c r="A496" s="4"/>
      <c r="B496" s="7"/>
      <c r="C496" s="7"/>
      <c r="D496" s="7"/>
      <c r="E496" s="7"/>
      <c r="F496" s="7"/>
      <c r="G496" s="7"/>
      <c r="H496" s="7"/>
      <c r="I496" s="7"/>
      <c r="J496" s="7"/>
      <c r="K496" s="7"/>
      <c r="L496" s="7"/>
      <c r="M496" s="7"/>
    </row>
    <row r="497" spans="1:13" x14ac:dyDescent="0.4">
      <c r="A497" s="4"/>
      <c r="B497" s="7"/>
      <c r="C497" s="7"/>
      <c r="D497" s="7"/>
      <c r="E497" s="7"/>
      <c r="F497" s="7"/>
      <c r="G497" s="7"/>
      <c r="H497" s="7"/>
      <c r="I497" s="7"/>
      <c r="J497" s="7"/>
      <c r="K497" s="7"/>
      <c r="L497" s="7"/>
      <c r="M497" s="7"/>
    </row>
    <row r="498" spans="1:13" x14ac:dyDescent="0.4">
      <c r="A498" s="4"/>
      <c r="B498" s="7"/>
      <c r="C498" s="7"/>
      <c r="D498" s="7"/>
      <c r="E498" s="7"/>
      <c r="F498" s="7"/>
      <c r="G498" s="7"/>
      <c r="H498" s="7"/>
      <c r="I498" s="7"/>
      <c r="J498" s="7"/>
      <c r="K498" s="7"/>
      <c r="L498" s="7"/>
      <c r="M498" s="7"/>
    </row>
    <row r="499" spans="1:13" x14ac:dyDescent="0.4">
      <c r="A499" s="4"/>
      <c r="B499" s="7"/>
      <c r="C499" s="7"/>
      <c r="D499" s="7"/>
      <c r="E499" s="7"/>
      <c r="F499" s="7"/>
      <c r="G499" s="7"/>
      <c r="H499" s="7"/>
      <c r="I499" s="7"/>
      <c r="J499" s="7"/>
      <c r="K499" s="7"/>
      <c r="L499" s="7"/>
      <c r="M499" s="7"/>
    </row>
    <row r="500" spans="1:13" x14ac:dyDescent="0.4">
      <c r="A500" s="4"/>
      <c r="B500" s="7"/>
      <c r="C500" s="7"/>
      <c r="D500" s="7"/>
      <c r="E500" s="7"/>
      <c r="F500" s="7"/>
      <c r="G500" s="7"/>
      <c r="H500" s="7"/>
      <c r="I500" s="7"/>
      <c r="J500" s="7"/>
      <c r="K500" s="7"/>
      <c r="L500" s="7"/>
      <c r="M500" s="7"/>
    </row>
    <row r="501" spans="1:13" x14ac:dyDescent="0.4">
      <c r="A501" s="4"/>
      <c r="B501" s="7"/>
      <c r="C501" s="7"/>
      <c r="D501" s="7"/>
      <c r="E501" s="7"/>
      <c r="F501" s="7"/>
      <c r="G501" s="7"/>
      <c r="H501" s="7"/>
      <c r="I501" s="7"/>
      <c r="J501" s="7"/>
      <c r="K501" s="7"/>
      <c r="L501" s="7"/>
      <c r="M501" s="7"/>
    </row>
    <row r="502" spans="1:13" x14ac:dyDescent="0.4">
      <c r="A502" s="4"/>
      <c r="B502" s="7"/>
      <c r="C502" s="7"/>
      <c r="D502" s="7"/>
      <c r="E502" s="7"/>
      <c r="F502" s="7"/>
      <c r="G502" s="7"/>
      <c r="H502" s="7"/>
      <c r="I502" s="7"/>
      <c r="J502" s="7"/>
      <c r="K502" s="7"/>
      <c r="L502" s="7"/>
      <c r="M502" s="7"/>
    </row>
    <row r="503" spans="1:13" x14ac:dyDescent="0.4">
      <c r="A503" s="4"/>
      <c r="B503" s="7"/>
      <c r="C503" s="7"/>
      <c r="D503" s="7"/>
      <c r="E503" s="7"/>
      <c r="F503" s="7"/>
      <c r="G503" s="7"/>
      <c r="H503" s="7"/>
      <c r="I503" s="7"/>
      <c r="J503" s="7"/>
      <c r="K503" s="7"/>
      <c r="L503" s="7"/>
      <c r="M503" s="7"/>
    </row>
    <row r="504" spans="1:13" x14ac:dyDescent="0.4">
      <c r="A504" s="4"/>
      <c r="B504" s="7"/>
      <c r="C504" s="7"/>
      <c r="D504" s="7"/>
      <c r="E504" s="7"/>
      <c r="F504" s="7"/>
      <c r="G504" s="7"/>
      <c r="H504" s="7"/>
      <c r="I504" s="7"/>
      <c r="J504" s="7"/>
      <c r="K504" s="7"/>
      <c r="L504" s="7"/>
      <c r="M504" s="7"/>
    </row>
    <row r="506" spans="1:13" x14ac:dyDescent="0.4">
      <c r="A506" s="3"/>
    </row>
    <row r="507" spans="1:13" x14ac:dyDescent="0.4">
      <c r="A507" s="3"/>
    </row>
    <row r="508" spans="1:13" x14ac:dyDescent="0.4">
      <c r="A508" s="3"/>
    </row>
    <row r="511" spans="1:13" x14ac:dyDescent="0.4">
      <c r="A511" s="2"/>
    </row>
    <row r="512" spans="1:13" x14ac:dyDescent="0.4">
      <c r="A512" s="3"/>
    </row>
    <row r="514" spans="1:13" x14ac:dyDescent="0.4">
      <c r="A514" s="4"/>
      <c r="B514" s="4"/>
    </row>
    <row r="515" spans="1:13" x14ac:dyDescent="0.4">
      <c r="A515" s="4"/>
      <c r="B515" s="4"/>
    </row>
    <row r="516" spans="1:13" x14ac:dyDescent="0.4">
      <c r="A516" s="4"/>
      <c r="B516" s="4"/>
    </row>
    <row r="518" spans="1:13" x14ac:dyDescent="0.4">
      <c r="A518" s="5"/>
      <c r="B518" s="6"/>
      <c r="C518" s="6"/>
      <c r="D518" s="6"/>
      <c r="E518" s="6"/>
      <c r="F518" s="6"/>
      <c r="G518" s="6"/>
      <c r="H518" s="6"/>
      <c r="I518" s="6"/>
      <c r="J518" s="6"/>
      <c r="K518" s="6"/>
      <c r="L518" s="6"/>
      <c r="M518" s="6"/>
    </row>
    <row r="519" spans="1:13" x14ac:dyDescent="0.4">
      <c r="A519" s="4"/>
      <c r="B519" s="7"/>
      <c r="C519" s="7"/>
      <c r="D519" s="7"/>
      <c r="E519" s="7"/>
      <c r="F519" s="7"/>
      <c r="G519" s="7"/>
      <c r="H519" s="7"/>
      <c r="I519" s="7"/>
      <c r="J519" s="7"/>
      <c r="K519" s="7"/>
      <c r="L519" s="7"/>
      <c r="M519" s="7"/>
    </row>
    <row r="520" spans="1:13" x14ac:dyDescent="0.4">
      <c r="A520" s="4"/>
      <c r="B520" s="7"/>
      <c r="C520" s="7"/>
      <c r="D520" s="7"/>
      <c r="E520" s="7"/>
      <c r="F520" s="7"/>
      <c r="G520" s="7"/>
      <c r="H520" s="7"/>
      <c r="I520" s="7"/>
      <c r="J520" s="7"/>
      <c r="K520" s="7"/>
      <c r="L520" s="7"/>
      <c r="M520" s="7"/>
    </row>
    <row r="521" spans="1:13" x14ac:dyDescent="0.4">
      <c r="A521" s="4"/>
      <c r="B521" s="7"/>
      <c r="C521" s="7"/>
      <c r="D521" s="7"/>
      <c r="E521" s="7"/>
      <c r="F521" s="7"/>
      <c r="G521" s="7"/>
      <c r="H521" s="7"/>
      <c r="I521" s="7"/>
      <c r="J521" s="7"/>
      <c r="K521" s="7"/>
      <c r="L521" s="7"/>
      <c r="M521" s="7"/>
    </row>
    <row r="522" spans="1:13" x14ac:dyDescent="0.4">
      <c r="A522" s="4"/>
      <c r="B522" s="7"/>
      <c r="C522" s="7"/>
      <c r="D522" s="7"/>
      <c r="E522" s="7"/>
      <c r="F522" s="7"/>
      <c r="G522" s="7"/>
      <c r="H522" s="7"/>
      <c r="I522" s="7"/>
      <c r="J522" s="7"/>
      <c r="K522" s="7"/>
      <c r="L522" s="7"/>
      <c r="M522" s="7"/>
    </row>
    <row r="523" spans="1:13" x14ac:dyDescent="0.4">
      <c r="A523" s="4"/>
      <c r="B523" s="7"/>
      <c r="C523" s="7"/>
      <c r="D523" s="7"/>
      <c r="E523" s="7"/>
      <c r="F523" s="7"/>
      <c r="G523" s="7"/>
      <c r="H523" s="7"/>
      <c r="I523" s="7"/>
      <c r="J523" s="7"/>
      <c r="K523" s="7"/>
      <c r="L523" s="7"/>
      <c r="M523" s="7"/>
    </row>
    <row r="524" spans="1:13" x14ac:dyDescent="0.4">
      <c r="A524" s="4"/>
      <c r="B524" s="7"/>
      <c r="C524" s="7"/>
      <c r="D524" s="7"/>
      <c r="E524" s="7"/>
      <c r="F524" s="7"/>
      <c r="G524" s="7"/>
      <c r="H524" s="7"/>
      <c r="I524" s="7"/>
      <c r="J524" s="7"/>
      <c r="K524" s="7"/>
      <c r="L524" s="7"/>
      <c r="M524" s="7"/>
    </row>
    <row r="525" spans="1:13" x14ac:dyDescent="0.4">
      <c r="A525" s="4"/>
      <c r="B525" s="7"/>
      <c r="C525" s="7"/>
      <c r="D525" s="7"/>
      <c r="E525" s="7"/>
      <c r="F525" s="7"/>
      <c r="G525" s="7"/>
      <c r="H525" s="7"/>
      <c r="I525" s="7"/>
      <c r="J525" s="7"/>
      <c r="K525" s="7"/>
      <c r="L525" s="7"/>
      <c r="M525" s="7"/>
    </row>
    <row r="526" spans="1:13" x14ac:dyDescent="0.4">
      <c r="A526" s="4"/>
      <c r="B526" s="7"/>
      <c r="C526" s="7"/>
      <c r="D526" s="7"/>
      <c r="E526" s="7"/>
      <c r="F526" s="7"/>
      <c r="G526" s="7"/>
      <c r="H526" s="7"/>
      <c r="I526" s="7"/>
      <c r="J526" s="7"/>
      <c r="K526" s="7"/>
      <c r="L526" s="7"/>
      <c r="M526" s="7"/>
    </row>
    <row r="527" spans="1:13" x14ac:dyDescent="0.4">
      <c r="A527" s="4"/>
      <c r="B527" s="7"/>
      <c r="C527" s="7"/>
      <c r="D527" s="7"/>
      <c r="E527" s="7"/>
      <c r="F527" s="7"/>
      <c r="G527" s="7"/>
      <c r="H527" s="7"/>
      <c r="I527" s="7"/>
      <c r="J527" s="7"/>
      <c r="K527" s="7"/>
      <c r="L527" s="7"/>
      <c r="M527" s="7"/>
    </row>
    <row r="528" spans="1:13" x14ac:dyDescent="0.4">
      <c r="A528" s="4"/>
      <c r="B528" s="7"/>
      <c r="C528" s="7"/>
      <c r="D528" s="7"/>
      <c r="E528" s="7"/>
      <c r="F528" s="7"/>
      <c r="G528" s="7"/>
      <c r="H528" s="7"/>
      <c r="I528" s="7"/>
      <c r="J528" s="7"/>
      <c r="K528" s="7"/>
      <c r="L528" s="7"/>
      <c r="M528" s="7"/>
    </row>
    <row r="529" spans="1:13" x14ac:dyDescent="0.4">
      <c r="A529" s="4"/>
      <c r="B529" s="7"/>
      <c r="C529" s="7"/>
      <c r="D529" s="7"/>
      <c r="E529" s="7"/>
      <c r="F529" s="7"/>
      <c r="G529" s="7"/>
      <c r="H529" s="7"/>
      <c r="I529" s="7"/>
      <c r="J529" s="7"/>
      <c r="K529" s="7"/>
      <c r="L529" s="7"/>
      <c r="M529" s="7"/>
    </row>
    <row r="530" spans="1:13" x14ac:dyDescent="0.4">
      <c r="A530" s="4"/>
      <c r="B530" s="7"/>
      <c r="C530" s="7"/>
      <c r="D530" s="7"/>
      <c r="E530" s="7"/>
      <c r="F530" s="7"/>
      <c r="G530" s="7"/>
      <c r="H530" s="7"/>
      <c r="I530" s="7"/>
      <c r="J530" s="7"/>
      <c r="K530" s="7"/>
      <c r="L530" s="7"/>
      <c r="M530" s="7"/>
    </row>
    <row r="531" spans="1:13" x14ac:dyDescent="0.4">
      <c r="A531" s="4"/>
      <c r="B531" s="7"/>
      <c r="C531" s="7"/>
      <c r="D531" s="7"/>
      <c r="E531" s="7"/>
      <c r="F531" s="7"/>
      <c r="G531" s="7"/>
      <c r="H531" s="7"/>
      <c r="I531" s="7"/>
      <c r="J531" s="7"/>
      <c r="K531" s="7"/>
      <c r="L531" s="7"/>
      <c r="M531" s="7"/>
    </row>
    <row r="532" spans="1:13" x14ac:dyDescent="0.4">
      <c r="A532" s="4"/>
      <c r="B532" s="7"/>
      <c r="C532" s="7"/>
      <c r="D532" s="7"/>
      <c r="E532" s="7"/>
      <c r="F532" s="7"/>
      <c r="G532" s="7"/>
      <c r="H532" s="7"/>
      <c r="I532" s="7"/>
      <c r="J532" s="7"/>
      <c r="K532" s="7"/>
      <c r="L532" s="7"/>
      <c r="M532" s="7"/>
    </row>
    <row r="533" spans="1:13" x14ac:dyDescent="0.4">
      <c r="A533" s="4"/>
      <c r="B533" s="7"/>
      <c r="C533" s="7"/>
      <c r="D533" s="7"/>
      <c r="E533" s="7"/>
      <c r="F533" s="7"/>
      <c r="G533" s="7"/>
      <c r="H533" s="7"/>
      <c r="I533" s="7"/>
      <c r="J533" s="7"/>
      <c r="K533" s="7"/>
      <c r="L533" s="7"/>
      <c r="M533" s="7"/>
    </row>
    <row r="534" spans="1:13" x14ac:dyDescent="0.4">
      <c r="A534" s="4"/>
      <c r="B534" s="7"/>
      <c r="C534" s="7"/>
      <c r="D534" s="7"/>
      <c r="E534" s="7"/>
      <c r="F534" s="7"/>
      <c r="G534" s="7"/>
      <c r="H534" s="7"/>
      <c r="I534" s="7"/>
      <c r="J534" s="7"/>
      <c r="K534" s="7"/>
      <c r="L534" s="7"/>
      <c r="M534" s="7"/>
    </row>
    <row r="536" spans="1:13" x14ac:dyDescent="0.4">
      <c r="A536" s="3"/>
    </row>
    <row r="537" spans="1:13" x14ac:dyDescent="0.4">
      <c r="A537" s="3"/>
    </row>
    <row r="538" spans="1:13" x14ac:dyDescent="0.4">
      <c r="A538" s="3"/>
    </row>
    <row r="541" spans="1:13" x14ac:dyDescent="0.4">
      <c r="A541" s="2"/>
    </row>
    <row r="542" spans="1:13" x14ac:dyDescent="0.4">
      <c r="A542" s="3"/>
    </row>
    <row r="544" spans="1:13" x14ac:dyDescent="0.4">
      <c r="A544" s="4"/>
      <c r="B544" s="4"/>
    </row>
    <row r="545" spans="1:13" x14ac:dyDescent="0.4">
      <c r="A545" s="4"/>
      <c r="B545" s="4"/>
    </row>
    <row r="546" spans="1:13" x14ac:dyDescent="0.4">
      <c r="A546" s="4"/>
      <c r="B546" s="4"/>
    </row>
    <row r="548" spans="1:13" x14ac:dyDescent="0.4">
      <c r="A548" s="5"/>
      <c r="B548" s="6"/>
      <c r="C548" s="6"/>
      <c r="D548" s="6"/>
      <c r="E548" s="6"/>
      <c r="F548" s="6"/>
      <c r="G548" s="6"/>
      <c r="H548" s="6"/>
      <c r="I548" s="6"/>
      <c r="J548" s="6"/>
      <c r="K548" s="6"/>
      <c r="L548" s="6"/>
      <c r="M548" s="6"/>
    </row>
    <row r="549" spans="1:13" x14ac:dyDescent="0.4">
      <c r="A549" s="4"/>
      <c r="B549" s="7"/>
      <c r="C549" s="7"/>
      <c r="D549" s="7"/>
      <c r="E549" s="7"/>
      <c r="F549" s="7"/>
      <c r="G549" s="7"/>
      <c r="H549" s="7"/>
      <c r="I549" s="7"/>
      <c r="J549" s="7"/>
      <c r="K549" s="7"/>
      <c r="L549" s="7"/>
      <c r="M549" s="7"/>
    </row>
    <row r="550" spans="1:13" x14ac:dyDescent="0.4">
      <c r="A550" s="4"/>
      <c r="B550" s="7"/>
      <c r="C550" s="7"/>
      <c r="D550" s="7"/>
      <c r="E550" s="7"/>
      <c r="F550" s="7"/>
      <c r="G550" s="7"/>
      <c r="H550" s="7"/>
      <c r="I550" s="7"/>
      <c r="J550" s="7"/>
      <c r="K550" s="7"/>
      <c r="L550" s="7"/>
      <c r="M550" s="7"/>
    </row>
    <row r="551" spans="1:13" x14ac:dyDescent="0.4">
      <c r="A551" s="4"/>
      <c r="B551" s="7"/>
      <c r="C551" s="7"/>
      <c r="D551" s="7"/>
      <c r="E551" s="7"/>
      <c r="F551" s="7"/>
      <c r="G551" s="7"/>
      <c r="H551" s="7"/>
      <c r="I551" s="7"/>
      <c r="J551" s="7"/>
      <c r="K551" s="7"/>
      <c r="L551" s="7"/>
      <c r="M551" s="7"/>
    </row>
    <row r="552" spans="1:13" x14ac:dyDescent="0.4">
      <c r="A552" s="4"/>
      <c r="B552" s="7"/>
      <c r="C552" s="7"/>
      <c r="D552" s="7"/>
      <c r="E552" s="7"/>
      <c r="F552" s="7"/>
      <c r="G552" s="7"/>
      <c r="H552" s="7"/>
      <c r="I552" s="7"/>
      <c r="J552" s="7"/>
      <c r="K552" s="7"/>
      <c r="L552" s="7"/>
      <c r="M552" s="7"/>
    </row>
    <row r="553" spans="1:13" x14ac:dyDescent="0.4">
      <c r="A553" s="4"/>
      <c r="B553" s="7"/>
      <c r="C553" s="7"/>
      <c r="D553" s="7"/>
      <c r="E553" s="7"/>
      <c r="F553" s="7"/>
      <c r="G553" s="7"/>
      <c r="H553" s="7"/>
      <c r="I553" s="7"/>
      <c r="J553" s="7"/>
      <c r="K553" s="7"/>
      <c r="L553" s="7"/>
      <c r="M553" s="7"/>
    </row>
    <row r="554" spans="1:13" x14ac:dyDescent="0.4">
      <c r="A554" s="4"/>
      <c r="B554" s="7"/>
      <c r="C554" s="7"/>
      <c r="D554" s="7"/>
      <c r="E554" s="7"/>
      <c r="F554" s="7"/>
      <c r="G554" s="7"/>
      <c r="H554" s="7"/>
      <c r="I554" s="7"/>
      <c r="J554" s="7"/>
      <c r="K554" s="7"/>
      <c r="L554" s="7"/>
      <c r="M554" s="7"/>
    </row>
    <row r="555" spans="1:13" x14ac:dyDescent="0.4">
      <c r="A555" s="4"/>
      <c r="B555" s="7"/>
      <c r="C555" s="7"/>
      <c r="D555" s="7"/>
      <c r="E555" s="7"/>
      <c r="F555" s="7"/>
      <c r="G555" s="7"/>
      <c r="H555" s="7"/>
      <c r="I555" s="7"/>
      <c r="J555" s="7"/>
      <c r="K555" s="7"/>
      <c r="L555" s="7"/>
      <c r="M555" s="7"/>
    </row>
    <row r="556" spans="1:13" x14ac:dyDescent="0.4">
      <c r="A556" s="4"/>
      <c r="B556" s="7"/>
      <c r="C556" s="7"/>
      <c r="D556" s="7"/>
      <c r="E556" s="7"/>
      <c r="F556" s="7"/>
      <c r="G556" s="7"/>
      <c r="H556" s="7"/>
      <c r="I556" s="7"/>
      <c r="J556" s="7"/>
      <c r="K556" s="7"/>
      <c r="L556" s="7"/>
      <c r="M556" s="7"/>
    </row>
    <row r="557" spans="1:13" x14ac:dyDescent="0.4">
      <c r="A557" s="4"/>
      <c r="B557" s="7"/>
      <c r="C557" s="7"/>
      <c r="D557" s="7"/>
      <c r="E557" s="7"/>
      <c r="F557" s="7"/>
      <c r="G557" s="7"/>
      <c r="H557" s="7"/>
      <c r="I557" s="7"/>
      <c r="J557" s="7"/>
      <c r="K557" s="7"/>
      <c r="L557" s="7"/>
      <c r="M557" s="7"/>
    </row>
    <row r="558" spans="1:13" x14ac:dyDescent="0.4">
      <c r="A558" s="4"/>
      <c r="B558" s="7"/>
      <c r="C558" s="7"/>
      <c r="D558" s="7"/>
      <c r="E558" s="7"/>
      <c r="F558" s="7"/>
      <c r="G558" s="7"/>
      <c r="H558" s="7"/>
      <c r="I558" s="7"/>
      <c r="J558" s="7"/>
      <c r="K558" s="7"/>
      <c r="L558" s="7"/>
      <c r="M558" s="7"/>
    </row>
    <row r="559" spans="1:13" x14ac:dyDescent="0.4">
      <c r="A559" s="4"/>
      <c r="B559" s="7"/>
      <c r="C559" s="7"/>
      <c r="D559" s="7"/>
      <c r="E559" s="7"/>
      <c r="F559" s="7"/>
      <c r="G559" s="7"/>
      <c r="H559" s="7"/>
      <c r="I559" s="7"/>
      <c r="J559" s="7"/>
      <c r="K559" s="7"/>
      <c r="L559" s="7"/>
      <c r="M559" s="7"/>
    </row>
    <row r="560" spans="1:13" x14ac:dyDescent="0.4">
      <c r="A560" s="4"/>
      <c r="B560" s="7"/>
      <c r="C560" s="7"/>
      <c r="D560" s="7"/>
      <c r="E560" s="7"/>
      <c r="F560" s="7"/>
      <c r="G560" s="7"/>
      <c r="H560" s="7"/>
      <c r="I560" s="7"/>
      <c r="J560" s="7"/>
      <c r="K560" s="7"/>
      <c r="L560" s="7"/>
      <c r="M560" s="7"/>
    </row>
    <row r="561" spans="1:13" x14ac:dyDescent="0.4">
      <c r="A561" s="4"/>
      <c r="B561" s="7"/>
      <c r="C561" s="7"/>
      <c r="D561" s="7"/>
      <c r="E561" s="7"/>
      <c r="F561" s="7"/>
      <c r="G561" s="7"/>
      <c r="H561" s="7"/>
      <c r="I561" s="7"/>
      <c r="J561" s="7"/>
      <c r="K561" s="7"/>
      <c r="L561" s="7"/>
      <c r="M561" s="7"/>
    </row>
    <row r="562" spans="1:13" x14ac:dyDescent="0.4">
      <c r="A562" s="4"/>
      <c r="B562" s="7"/>
      <c r="C562" s="7"/>
      <c r="D562" s="7"/>
      <c r="E562" s="7"/>
      <c r="F562" s="7"/>
      <c r="G562" s="7"/>
      <c r="H562" s="7"/>
      <c r="I562" s="7"/>
      <c r="J562" s="7"/>
      <c r="K562" s="7"/>
      <c r="L562" s="7"/>
      <c r="M562" s="7"/>
    </row>
    <row r="563" spans="1:13" x14ac:dyDescent="0.4">
      <c r="A563" s="4"/>
      <c r="B563" s="7"/>
      <c r="C563" s="7"/>
      <c r="D563" s="7"/>
      <c r="E563" s="7"/>
      <c r="F563" s="7"/>
      <c r="G563" s="7"/>
      <c r="H563" s="7"/>
      <c r="I563" s="7"/>
      <c r="J563" s="7"/>
      <c r="K563" s="7"/>
      <c r="L563" s="7"/>
      <c r="M563" s="7"/>
    </row>
    <row r="564" spans="1:13" x14ac:dyDescent="0.4">
      <c r="A564" s="4"/>
      <c r="B564" s="7"/>
      <c r="C564" s="7"/>
      <c r="D564" s="7"/>
      <c r="E564" s="7"/>
      <c r="F564" s="7"/>
      <c r="G564" s="7"/>
      <c r="H564" s="7"/>
      <c r="I564" s="7"/>
      <c r="J564" s="7"/>
      <c r="K564" s="7"/>
      <c r="L564" s="7"/>
      <c r="M564" s="7"/>
    </row>
    <row r="566" spans="1:13" x14ac:dyDescent="0.4">
      <c r="A566" s="3"/>
    </row>
    <row r="567" spans="1:13" x14ac:dyDescent="0.4">
      <c r="A567" s="3"/>
    </row>
    <row r="568" spans="1:13" x14ac:dyDescent="0.4">
      <c r="A568" s="3"/>
    </row>
    <row r="571" spans="1:13" x14ac:dyDescent="0.4">
      <c r="A571" s="2"/>
    </row>
    <row r="572" spans="1:13" x14ac:dyDescent="0.4">
      <c r="A572" s="3"/>
    </row>
    <row r="574" spans="1:13" x14ac:dyDescent="0.4">
      <c r="A574" s="4"/>
      <c r="B574" s="4"/>
    </row>
    <row r="575" spans="1:13" x14ac:dyDescent="0.4">
      <c r="A575" s="4"/>
      <c r="B575" s="4"/>
    </row>
    <row r="576" spans="1:13" x14ac:dyDescent="0.4">
      <c r="A576" s="4"/>
      <c r="B576" s="4"/>
    </row>
    <row r="578" spans="1:13" x14ac:dyDescent="0.4">
      <c r="A578" s="5"/>
      <c r="B578" s="6"/>
      <c r="C578" s="6"/>
      <c r="D578" s="6"/>
      <c r="E578" s="6"/>
      <c r="F578" s="6"/>
      <c r="G578" s="6"/>
      <c r="H578" s="6"/>
      <c r="I578" s="6"/>
      <c r="J578" s="6"/>
      <c r="K578" s="6"/>
      <c r="L578" s="6"/>
      <c r="M578" s="6"/>
    </row>
    <row r="579" spans="1:13" x14ac:dyDescent="0.4">
      <c r="A579" s="4"/>
      <c r="B579" s="7"/>
      <c r="C579" s="7"/>
      <c r="D579" s="7"/>
      <c r="E579" s="7"/>
      <c r="F579" s="7"/>
      <c r="G579" s="7"/>
      <c r="H579" s="7"/>
      <c r="I579" s="7"/>
      <c r="J579" s="7"/>
      <c r="K579" s="7"/>
      <c r="L579" s="7"/>
      <c r="M579" s="7"/>
    </row>
    <row r="580" spans="1:13" x14ac:dyDescent="0.4">
      <c r="A580" s="4"/>
      <c r="B580" s="7"/>
      <c r="C580" s="7"/>
      <c r="D580" s="7"/>
      <c r="E580" s="7"/>
      <c r="F580" s="7"/>
      <c r="G580" s="7"/>
      <c r="H580" s="7"/>
      <c r="I580" s="7"/>
      <c r="J580" s="7"/>
      <c r="K580" s="7"/>
      <c r="L580" s="7"/>
      <c r="M580" s="7"/>
    </row>
    <row r="581" spans="1:13" x14ac:dyDescent="0.4">
      <c r="A581" s="4"/>
      <c r="B581" s="7"/>
      <c r="C581" s="7"/>
      <c r="D581" s="7"/>
      <c r="E581" s="7"/>
      <c r="F581" s="7"/>
      <c r="G581" s="7"/>
      <c r="H581" s="7"/>
      <c r="I581" s="7"/>
      <c r="J581" s="7"/>
      <c r="K581" s="7"/>
      <c r="L581" s="7"/>
      <c r="M581" s="7"/>
    </row>
    <row r="582" spans="1:13" x14ac:dyDescent="0.4">
      <c r="A582" s="4"/>
      <c r="B582" s="7"/>
      <c r="C582" s="7"/>
      <c r="D582" s="7"/>
      <c r="E582" s="7"/>
      <c r="F582" s="7"/>
      <c r="G582" s="7"/>
      <c r="H582" s="7"/>
      <c r="I582" s="7"/>
      <c r="J582" s="7"/>
      <c r="K582" s="7"/>
      <c r="L582" s="7"/>
      <c r="M582" s="7"/>
    </row>
    <row r="583" spans="1:13" x14ac:dyDescent="0.4">
      <c r="A583" s="4"/>
      <c r="B583" s="7"/>
      <c r="C583" s="7"/>
      <c r="D583" s="7"/>
      <c r="E583" s="7"/>
      <c r="F583" s="7"/>
      <c r="G583" s="7"/>
      <c r="H583" s="7"/>
      <c r="I583" s="7"/>
      <c r="J583" s="7"/>
      <c r="K583" s="7"/>
      <c r="L583" s="7"/>
      <c r="M583" s="7"/>
    </row>
    <row r="584" spans="1:13" x14ac:dyDescent="0.4">
      <c r="A584" s="4"/>
      <c r="B584" s="7"/>
      <c r="C584" s="7"/>
      <c r="D584" s="7"/>
      <c r="E584" s="7"/>
      <c r="F584" s="7"/>
      <c r="G584" s="7"/>
      <c r="H584" s="7"/>
      <c r="I584" s="7"/>
      <c r="J584" s="7"/>
      <c r="K584" s="7"/>
      <c r="L584" s="7"/>
      <c r="M584" s="7"/>
    </row>
    <row r="585" spans="1:13" x14ac:dyDescent="0.4">
      <c r="A585" s="4"/>
      <c r="B585" s="7"/>
      <c r="C585" s="7"/>
      <c r="D585" s="7"/>
      <c r="E585" s="7"/>
      <c r="F585" s="7"/>
      <c r="G585" s="7"/>
      <c r="H585" s="7"/>
      <c r="I585" s="7"/>
      <c r="J585" s="7"/>
      <c r="K585" s="7"/>
      <c r="L585" s="7"/>
      <c r="M585" s="7"/>
    </row>
    <row r="586" spans="1:13" x14ac:dyDescent="0.4">
      <c r="A586" s="4"/>
      <c r="B586" s="7"/>
      <c r="C586" s="7"/>
      <c r="D586" s="7"/>
      <c r="E586" s="7"/>
      <c r="F586" s="7"/>
      <c r="G586" s="7"/>
      <c r="H586" s="7"/>
      <c r="I586" s="7"/>
      <c r="J586" s="7"/>
      <c r="K586" s="7"/>
      <c r="L586" s="7"/>
      <c r="M586" s="7"/>
    </row>
    <row r="587" spans="1:13" x14ac:dyDescent="0.4">
      <c r="A587" s="4"/>
      <c r="B587" s="7"/>
      <c r="C587" s="7"/>
      <c r="D587" s="7"/>
      <c r="E587" s="7"/>
      <c r="F587" s="7"/>
      <c r="G587" s="7"/>
      <c r="H587" s="7"/>
      <c r="I587" s="7"/>
      <c r="J587" s="7"/>
      <c r="K587" s="7"/>
      <c r="L587" s="7"/>
      <c r="M587" s="7"/>
    </row>
    <row r="588" spans="1:13" x14ac:dyDescent="0.4">
      <c r="A588" s="4"/>
      <c r="B588" s="7"/>
      <c r="C588" s="7"/>
      <c r="D588" s="7"/>
      <c r="E588" s="7"/>
      <c r="F588" s="7"/>
      <c r="G588" s="7"/>
      <c r="H588" s="7"/>
      <c r="I588" s="7"/>
      <c r="J588" s="7"/>
      <c r="K588" s="7"/>
      <c r="L588" s="7"/>
      <c r="M588" s="7"/>
    </row>
    <row r="589" spans="1:13" x14ac:dyDescent="0.4">
      <c r="A589" s="4"/>
      <c r="B589" s="7"/>
      <c r="C589" s="7"/>
      <c r="D589" s="7"/>
      <c r="E589" s="7"/>
      <c r="F589" s="7"/>
      <c r="G589" s="7"/>
      <c r="H589" s="7"/>
      <c r="I589" s="7"/>
      <c r="J589" s="7"/>
      <c r="K589" s="7"/>
      <c r="L589" s="7"/>
      <c r="M589" s="7"/>
    </row>
    <row r="590" spans="1:13" x14ac:dyDescent="0.4">
      <c r="A590" s="4"/>
      <c r="B590" s="7"/>
      <c r="C590" s="7"/>
      <c r="D590" s="7"/>
      <c r="E590" s="7"/>
      <c r="F590" s="7"/>
      <c r="G590" s="7"/>
      <c r="H590" s="7"/>
      <c r="I590" s="7"/>
      <c r="J590" s="7"/>
      <c r="K590" s="7"/>
      <c r="L590" s="7"/>
      <c r="M590" s="7"/>
    </row>
    <row r="591" spans="1:13" x14ac:dyDescent="0.4">
      <c r="A591" s="4"/>
      <c r="B591" s="7"/>
      <c r="C591" s="7"/>
      <c r="D591" s="7"/>
      <c r="E591" s="7"/>
      <c r="F591" s="7"/>
      <c r="G591" s="7"/>
      <c r="H591" s="7"/>
      <c r="I591" s="7"/>
      <c r="J591" s="7"/>
      <c r="K591" s="7"/>
      <c r="L591" s="7"/>
      <c r="M591" s="7"/>
    </row>
    <row r="592" spans="1:13" x14ac:dyDescent="0.4">
      <c r="A592" s="4"/>
      <c r="B592" s="7"/>
      <c r="C592" s="7"/>
      <c r="D592" s="7"/>
      <c r="E592" s="7"/>
      <c r="F592" s="7"/>
      <c r="G592" s="7"/>
      <c r="H592" s="7"/>
      <c r="I592" s="7"/>
      <c r="J592" s="7"/>
      <c r="K592" s="7"/>
      <c r="L592" s="7"/>
      <c r="M592" s="7"/>
    </row>
    <row r="593" spans="1:13" x14ac:dyDescent="0.4">
      <c r="A593" s="4"/>
      <c r="B593" s="7"/>
      <c r="C593" s="7"/>
      <c r="D593" s="7"/>
      <c r="E593" s="7"/>
      <c r="F593" s="7"/>
      <c r="G593" s="7"/>
      <c r="H593" s="7"/>
      <c r="I593" s="7"/>
      <c r="J593" s="7"/>
      <c r="K593" s="7"/>
      <c r="L593" s="7"/>
      <c r="M593" s="7"/>
    </row>
    <row r="594" spans="1:13" x14ac:dyDescent="0.4">
      <c r="A594" s="4"/>
      <c r="B594" s="7"/>
      <c r="C594" s="7"/>
      <c r="D594" s="7"/>
      <c r="E594" s="7"/>
      <c r="F594" s="7"/>
      <c r="G594" s="7"/>
      <c r="H594" s="7"/>
      <c r="I594" s="7"/>
      <c r="J594" s="7"/>
      <c r="K594" s="7"/>
      <c r="L594" s="7"/>
      <c r="M594" s="7"/>
    </row>
    <row r="596" spans="1:13" x14ac:dyDescent="0.4">
      <c r="A596" s="3"/>
    </row>
    <row r="597" spans="1:13" x14ac:dyDescent="0.4">
      <c r="A597" s="3"/>
    </row>
    <row r="598" spans="1:13" x14ac:dyDescent="0.4">
      <c r="A598" s="3"/>
    </row>
    <row r="601" spans="1:13" x14ac:dyDescent="0.4">
      <c r="A601" s="2"/>
    </row>
    <row r="602" spans="1:13" x14ac:dyDescent="0.4">
      <c r="A602" s="3"/>
    </row>
    <row r="604" spans="1:13" x14ac:dyDescent="0.4">
      <c r="A604" s="4"/>
      <c r="B604" s="4"/>
    </row>
    <row r="605" spans="1:13" x14ac:dyDescent="0.4">
      <c r="A605" s="4"/>
      <c r="B605" s="4"/>
    </row>
    <row r="606" spans="1:13" x14ac:dyDescent="0.4">
      <c r="A606" s="4"/>
      <c r="B606" s="4"/>
    </row>
    <row r="608" spans="1:13" x14ac:dyDescent="0.4">
      <c r="A608" s="5"/>
      <c r="B608" s="6"/>
      <c r="C608" s="6"/>
      <c r="D608" s="6"/>
      <c r="E608" s="6"/>
      <c r="F608" s="6"/>
      <c r="G608" s="6"/>
      <c r="H608" s="6"/>
      <c r="I608" s="6"/>
      <c r="J608" s="6"/>
      <c r="K608" s="6"/>
      <c r="L608" s="6"/>
      <c r="M608" s="6"/>
    </row>
    <row r="609" spans="1:13" x14ac:dyDescent="0.4">
      <c r="A609" s="4"/>
      <c r="B609" s="7"/>
      <c r="C609" s="7"/>
      <c r="D609" s="7"/>
      <c r="E609" s="7"/>
      <c r="F609" s="7"/>
      <c r="G609" s="7"/>
      <c r="H609" s="7"/>
      <c r="I609" s="7"/>
      <c r="J609" s="7"/>
      <c r="K609" s="7"/>
      <c r="L609" s="7"/>
      <c r="M609" s="7"/>
    </row>
    <row r="610" spans="1:13" x14ac:dyDescent="0.4">
      <c r="A610" s="4"/>
      <c r="B610" s="7"/>
      <c r="C610" s="7"/>
      <c r="D610" s="7"/>
      <c r="E610" s="7"/>
      <c r="F610" s="7"/>
      <c r="G610" s="7"/>
      <c r="H610" s="7"/>
      <c r="I610" s="7"/>
      <c r="J610" s="7"/>
      <c r="K610" s="7"/>
      <c r="L610" s="7"/>
      <c r="M610" s="7"/>
    </row>
    <row r="611" spans="1:13" x14ac:dyDescent="0.4">
      <c r="A611" s="4"/>
      <c r="B611" s="7"/>
      <c r="C611" s="7"/>
      <c r="D611" s="7"/>
      <c r="E611" s="7"/>
      <c r="F611" s="7"/>
      <c r="G611" s="7"/>
      <c r="H611" s="7"/>
      <c r="I611" s="7"/>
      <c r="J611" s="7"/>
      <c r="K611" s="7"/>
      <c r="L611" s="7"/>
      <c r="M611" s="7"/>
    </row>
    <row r="612" spans="1:13" x14ac:dyDescent="0.4">
      <c r="A612" s="4"/>
      <c r="B612" s="7"/>
      <c r="C612" s="7"/>
      <c r="D612" s="7"/>
      <c r="E612" s="7"/>
      <c r="F612" s="7"/>
      <c r="G612" s="7"/>
      <c r="H612" s="7"/>
      <c r="I612" s="7"/>
      <c r="J612" s="7"/>
      <c r="K612" s="7"/>
      <c r="L612" s="7"/>
      <c r="M612" s="7"/>
    </row>
    <row r="613" spans="1:13" x14ac:dyDescent="0.4">
      <c r="A613" s="4"/>
      <c r="B613" s="7"/>
      <c r="C613" s="7"/>
      <c r="D613" s="7"/>
      <c r="E613" s="7"/>
      <c r="F613" s="7"/>
      <c r="G613" s="7"/>
      <c r="H613" s="7"/>
      <c r="I613" s="7"/>
      <c r="J613" s="7"/>
      <c r="K613" s="7"/>
      <c r="L613" s="7"/>
      <c r="M613" s="7"/>
    </row>
    <row r="614" spans="1:13" x14ac:dyDescent="0.4">
      <c r="A614" s="4"/>
      <c r="B614" s="7"/>
      <c r="C614" s="7"/>
      <c r="D614" s="7"/>
      <c r="E614" s="7"/>
      <c r="F614" s="7"/>
      <c r="G614" s="7"/>
      <c r="H614" s="7"/>
      <c r="I614" s="7"/>
      <c r="J614" s="7"/>
      <c r="K614" s="7"/>
      <c r="L614" s="7"/>
      <c r="M614" s="7"/>
    </row>
    <row r="615" spans="1:13" x14ac:dyDescent="0.4">
      <c r="A615" s="4"/>
      <c r="B615" s="7"/>
      <c r="C615" s="7"/>
      <c r="D615" s="7"/>
      <c r="E615" s="7"/>
      <c r="F615" s="7"/>
      <c r="G615" s="7"/>
      <c r="H615" s="7"/>
      <c r="I615" s="7"/>
      <c r="J615" s="7"/>
      <c r="K615" s="7"/>
      <c r="L615" s="7"/>
      <c r="M615" s="7"/>
    </row>
    <row r="616" spans="1:13" x14ac:dyDescent="0.4">
      <c r="A616" s="4"/>
      <c r="B616" s="7"/>
      <c r="C616" s="7"/>
      <c r="D616" s="7"/>
      <c r="E616" s="7"/>
      <c r="F616" s="7"/>
      <c r="G616" s="7"/>
      <c r="H616" s="7"/>
      <c r="I616" s="7"/>
      <c r="J616" s="7"/>
      <c r="K616" s="7"/>
      <c r="L616" s="7"/>
      <c r="M616" s="7"/>
    </row>
    <row r="617" spans="1:13" x14ac:dyDescent="0.4">
      <c r="A617" s="4"/>
      <c r="B617" s="7"/>
      <c r="C617" s="7"/>
      <c r="D617" s="7"/>
      <c r="E617" s="7"/>
      <c r="F617" s="7"/>
      <c r="G617" s="7"/>
      <c r="H617" s="7"/>
      <c r="I617" s="7"/>
      <c r="J617" s="7"/>
      <c r="K617" s="7"/>
      <c r="L617" s="7"/>
      <c r="M617" s="7"/>
    </row>
    <row r="618" spans="1:13" x14ac:dyDescent="0.4">
      <c r="A618" s="4"/>
      <c r="B618" s="7"/>
      <c r="C618" s="7"/>
      <c r="D618" s="7"/>
      <c r="E618" s="7"/>
      <c r="F618" s="7"/>
      <c r="G618" s="7"/>
      <c r="H618" s="7"/>
      <c r="I618" s="7"/>
      <c r="J618" s="7"/>
      <c r="K618" s="7"/>
      <c r="L618" s="7"/>
      <c r="M618" s="7"/>
    </row>
    <row r="619" spans="1:13" x14ac:dyDescent="0.4">
      <c r="A619" s="4"/>
      <c r="B619" s="7"/>
      <c r="C619" s="7"/>
      <c r="D619" s="7"/>
      <c r="E619" s="7"/>
      <c r="F619" s="7"/>
      <c r="G619" s="7"/>
      <c r="H619" s="7"/>
      <c r="I619" s="7"/>
      <c r="J619" s="7"/>
      <c r="K619" s="7"/>
      <c r="L619" s="7"/>
      <c r="M619" s="7"/>
    </row>
    <row r="620" spans="1:13" x14ac:dyDescent="0.4">
      <c r="A620" s="4"/>
      <c r="B620" s="7"/>
      <c r="C620" s="7"/>
      <c r="D620" s="7"/>
      <c r="E620" s="7"/>
      <c r="F620" s="7"/>
      <c r="G620" s="7"/>
      <c r="H620" s="7"/>
      <c r="I620" s="7"/>
      <c r="J620" s="7"/>
      <c r="K620" s="7"/>
      <c r="L620" s="7"/>
      <c r="M620" s="7"/>
    </row>
    <row r="621" spans="1:13" x14ac:dyDescent="0.4">
      <c r="A621" s="4"/>
      <c r="B621" s="7"/>
      <c r="C621" s="7"/>
      <c r="D621" s="7"/>
      <c r="E621" s="7"/>
      <c r="F621" s="7"/>
      <c r="G621" s="7"/>
      <c r="H621" s="7"/>
      <c r="I621" s="7"/>
      <c r="J621" s="7"/>
      <c r="K621" s="7"/>
      <c r="L621" s="7"/>
      <c r="M621" s="7"/>
    </row>
    <row r="622" spans="1:13" x14ac:dyDescent="0.4">
      <c r="A622" s="4"/>
      <c r="B622" s="7"/>
      <c r="C622" s="7"/>
      <c r="D622" s="7"/>
      <c r="E622" s="7"/>
      <c r="F622" s="7"/>
      <c r="G622" s="7"/>
      <c r="H622" s="7"/>
      <c r="I622" s="7"/>
      <c r="J622" s="7"/>
      <c r="K622" s="7"/>
      <c r="L622" s="7"/>
      <c r="M622" s="7"/>
    </row>
    <row r="623" spans="1:13" x14ac:dyDescent="0.4">
      <c r="A623" s="4"/>
      <c r="B623" s="7"/>
      <c r="C623" s="7"/>
      <c r="D623" s="7"/>
      <c r="E623" s="7"/>
      <c r="F623" s="7"/>
      <c r="G623" s="7"/>
      <c r="H623" s="7"/>
      <c r="I623" s="7"/>
      <c r="J623" s="7"/>
      <c r="K623" s="7"/>
      <c r="L623" s="7"/>
      <c r="M623" s="7"/>
    </row>
    <row r="624" spans="1:13" x14ac:dyDescent="0.4">
      <c r="A624" s="4"/>
      <c r="B624" s="7"/>
      <c r="C624" s="7"/>
      <c r="D624" s="7"/>
      <c r="E624" s="7"/>
      <c r="F624" s="7"/>
      <c r="G624" s="7"/>
      <c r="H624" s="7"/>
      <c r="I624" s="7"/>
      <c r="J624" s="7"/>
      <c r="K624" s="7"/>
      <c r="L624" s="7"/>
      <c r="M624" s="7"/>
    </row>
    <row r="626" spans="1:13" x14ac:dyDescent="0.4">
      <c r="A626" s="3"/>
    </row>
    <row r="627" spans="1:13" x14ac:dyDescent="0.4">
      <c r="A627" s="3"/>
    </row>
    <row r="628" spans="1:13" x14ac:dyDescent="0.4">
      <c r="A628" s="3"/>
    </row>
    <row r="631" spans="1:13" x14ac:dyDescent="0.4">
      <c r="A631" s="2"/>
    </row>
    <row r="632" spans="1:13" x14ac:dyDescent="0.4">
      <c r="A632" s="3"/>
    </row>
    <row r="634" spans="1:13" x14ac:dyDescent="0.4">
      <c r="A634" s="4"/>
      <c r="B634" s="4"/>
    </row>
    <row r="635" spans="1:13" x14ac:dyDescent="0.4">
      <c r="A635" s="4"/>
      <c r="B635" s="4"/>
    </row>
    <row r="636" spans="1:13" x14ac:dyDescent="0.4">
      <c r="A636" s="4"/>
      <c r="B636" s="4"/>
    </row>
    <row r="638" spans="1:13" x14ac:dyDescent="0.4">
      <c r="A638" s="5"/>
      <c r="B638" s="6"/>
      <c r="C638" s="6"/>
      <c r="D638" s="6"/>
      <c r="E638" s="6"/>
      <c r="F638" s="6"/>
      <c r="G638" s="6"/>
      <c r="H638" s="6"/>
      <c r="I638" s="6"/>
      <c r="J638" s="6"/>
      <c r="K638" s="6"/>
      <c r="L638" s="6"/>
      <c r="M638" s="6"/>
    </row>
    <row r="639" spans="1:13" x14ac:dyDescent="0.4">
      <c r="A639" s="4"/>
      <c r="B639" s="7"/>
      <c r="C639" s="7"/>
      <c r="D639" s="7"/>
      <c r="E639" s="7"/>
      <c r="F639" s="7"/>
      <c r="G639" s="7"/>
      <c r="H639" s="7"/>
      <c r="I639" s="7"/>
      <c r="J639" s="7"/>
      <c r="K639" s="7"/>
      <c r="L639" s="7"/>
      <c r="M639" s="7"/>
    </row>
    <row r="640" spans="1:13" x14ac:dyDescent="0.4">
      <c r="A640" s="4"/>
      <c r="B640" s="7"/>
      <c r="C640" s="7"/>
      <c r="D640" s="7"/>
      <c r="E640" s="7"/>
      <c r="F640" s="7"/>
      <c r="G640" s="7"/>
      <c r="H640" s="7"/>
      <c r="I640" s="7"/>
      <c r="J640" s="7"/>
      <c r="K640" s="7"/>
      <c r="L640" s="7"/>
      <c r="M640" s="7"/>
    </row>
    <row r="641" spans="1:13" x14ac:dyDescent="0.4">
      <c r="A641" s="4"/>
      <c r="B641" s="7"/>
      <c r="C641" s="7"/>
      <c r="D641" s="7"/>
      <c r="E641" s="7"/>
      <c r="F641" s="7"/>
      <c r="G641" s="7"/>
      <c r="H641" s="7"/>
      <c r="I641" s="7"/>
      <c r="J641" s="7"/>
      <c r="K641" s="7"/>
      <c r="L641" s="7"/>
      <c r="M641" s="7"/>
    </row>
    <row r="642" spans="1:13" x14ac:dyDescent="0.4">
      <c r="A642" s="4"/>
      <c r="B642" s="7"/>
      <c r="C642" s="7"/>
      <c r="D642" s="7"/>
      <c r="E642" s="7"/>
      <c r="F642" s="7"/>
      <c r="G642" s="7"/>
      <c r="H642" s="7"/>
      <c r="I642" s="7"/>
      <c r="J642" s="7"/>
      <c r="K642" s="7"/>
      <c r="L642" s="7"/>
      <c r="M642" s="7"/>
    </row>
    <row r="643" spans="1:13" x14ac:dyDescent="0.4">
      <c r="A643" s="4"/>
      <c r="B643" s="7"/>
      <c r="C643" s="7"/>
      <c r="D643" s="7"/>
      <c r="E643" s="7"/>
      <c r="F643" s="7"/>
      <c r="G643" s="7"/>
      <c r="H643" s="7"/>
      <c r="I643" s="7"/>
      <c r="J643" s="7"/>
      <c r="K643" s="7"/>
      <c r="L643" s="7"/>
      <c r="M643" s="7"/>
    </row>
    <row r="644" spans="1:13" x14ac:dyDescent="0.4">
      <c r="A644" s="4"/>
      <c r="B644" s="7"/>
      <c r="C644" s="7"/>
      <c r="D644" s="7"/>
      <c r="E644" s="7"/>
      <c r="F644" s="7"/>
      <c r="G644" s="7"/>
      <c r="H644" s="7"/>
      <c r="I644" s="7"/>
      <c r="J644" s="7"/>
      <c r="K644" s="7"/>
      <c r="L644" s="7"/>
      <c r="M644" s="7"/>
    </row>
    <row r="645" spans="1:13" x14ac:dyDescent="0.4">
      <c r="A645" s="4"/>
      <c r="B645" s="7"/>
      <c r="C645" s="7"/>
      <c r="D645" s="7"/>
      <c r="E645" s="7"/>
      <c r="F645" s="7"/>
      <c r="G645" s="7"/>
      <c r="H645" s="7"/>
      <c r="I645" s="7"/>
      <c r="J645" s="7"/>
      <c r="K645" s="7"/>
      <c r="L645" s="7"/>
      <c r="M645" s="7"/>
    </row>
    <row r="646" spans="1:13" x14ac:dyDescent="0.4">
      <c r="A646" s="4"/>
      <c r="B646" s="7"/>
      <c r="C646" s="7"/>
      <c r="D646" s="7"/>
      <c r="E646" s="7"/>
      <c r="F646" s="7"/>
      <c r="G646" s="7"/>
      <c r="H646" s="7"/>
      <c r="I646" s="7"/>
      <c r="J646" s="7"/>
      <c r="K646" s="7"/>
      <c r="L646" s="7"/>
      <c r="M646" s="7"/>
    </row>
    <row r="647" spans="1:13" x14ac:dyDescent="0.4">
      <c r="A647" s="4"/>
      <c r="B647" s="7"/>
      <c r="C647" s="7"/>
      <c r="D647" s="7"/>
      <c r="E647" s="7"/>
      <c r="F647" s="7"/>
      <c r="G647" s="7"/>
      <c r="H647" s="7"/>
      <c r="I647" s="7"/>
      <c r="J647" s="7"/>
      <c r="K647" s="7"/>
      <c r="L647" s="7"/>
      <c r="M647" s="7"/>
    </row>
    <row r="648" spans="1:13" x14ac:dyDescent="0.4">
      <c r="A648" s="4"/>
      <c r="B648" s="7"/>
      <c r="C648" s="7"/>
      <c r="D648" s="7"/>
      <c r="E648" s="7"/>
      <c r="F648" s="7"/>
      <c r="G648" s="7"/>
      <c r="H648" s="7"/>
      <c r="I648" s="7"/>
      <c r="J648" s="7"/>
      <c r="K648" s="7"/>
      <c r="L648" s="7"/>
      <c r="M648" s="7"/>
    </row>
    <row r="649" spans="1:13" x14ac:dyDescent="0.4">
      <c r="A649" s="4"/>
      <c r="B649" s="7"/>
      <c r="C649" s="7"/>
      <c r="D649" s="7"/>
      <c r="E649" s="7"/>
      <c r="F649" s="7"/>
      <c r="G649" s="7"/>
      <c r="H649" s="7"/>
      <c r="I649" s="7"/>
      <c r="J649" s="7"/>
      <c r="K649" s="7"/>
      <c r="L649" s="7"/>
      <c r="M649" s="7"/>
    </row>
    <row r="650" spans="1:13" x14ac:dyDescent="0.4">
      <c r="A650" s="4"/>
      <c r="B650" s="7"/>
      <c r="C650" s="7"/>
      <c r="D650" s="7"/>
      <c r="E650" s="7"/>
      <c r="F650" s="7"/>
      <c r="G650" s="7"/>
      <c r="H650" s="7"/>
      <c r="I650" s="7"/>
      <c r="J650" s="7"/>
      <c r="K650" s="7"/>
      <c r="L650" s="7"/>
      <c r="M650" s="7"/>
    </row>
    <row r="651" spans="1:13" x14ac:dyDescent="0.4">
      <c r="A651" s="4"/>
      <c r="B651" s="7"/>
      <c r="C651" s="7"/>
      <c r="D651" s="7"/>
      <c r="E651" s="7"/>
      <c r="F651" s="7"/>
      <c r="G651" s="7"/>
      <c r="H651" s="7"/>
      <c r="I651" s="7"/>
      <c r="J651" s="7"/>
      <c r="K651" s="7"/>
      <c r="L651" s="7"/>
      <c r="M651" s="7"/>
    </row>
    <row r="652" spans="1:13" x14ac:dyDescent="0.4">
      <c r="A652" s="4"/>
      <c r="B652" s="7"/>
      <c r="C652" s="7"/>
      <c r="D652" s="7"/>
      <c r="E652" s="7"/>
      <c r="F652" s="7"/>
      <c r="G652" s="7"/>
      <c r="H652" s="7"/>
      <c r="I652" s="7"/>
      <c r="J652" s="7"/>
      <c r="K652" s="7"/>
      <c r="L652" s="7"/>
      <c r="M652" s="7"/>
    </row>
    <row r="653" spans="1:13" x14ac:dyDescent="0.4">
      <c r="A653" s="4"/>
      <c r="B653" s="7"/>
      <c r="C653" s="7"/>
      <c r="D653" s="7"/>
      <c r="E653" s="7"/>
      <c r="F653" s="7"/>
      <c r="G653" s="7"/>
      <c r="H653" s="7"/>
      <c r="I653" s="7"/>
      <c r="J653" s="7"/>
      <c r="K653" s="7"/>
      <c r="L653" s="7"/>
      <c r="M653" s="7"/>
    </row>
    <row r="654" spans="1:13" x14ac:dyDescent="0.4">
      <c r="A654" s="4"/>
      <c r="B654" s="7"/>
      <c r="C654" s="7"/>
      <c r="D654" s="7"/>
      <c r="E654" s="7"/>
      <c r="F654" s="7"/>
      <c r="G654" s="7"/>
      <c r="H654" s="7"/>
      <c r="I654" s="7"/>
      <c r="J654" s="7"/>
      <c r="K654" s="7"/>
      <c r="L654" s="7"/>
      <c r="M654" s="7"/>
    </row>
    <row r="656" spans="1:13" x14ac:dyDescent="0.4">
      <c r="A656" s="3"/>
    </row>
    <row r="657" spans="1:13" x14ac:dyDescent="0.4">
      <c r="A657" s="3"/>
    </row>
    <row r="658" spans="1:13" x14ac:dyDescent="0.4">
      <c r="A658" s="3"/>
    </row>
    <row r="661" spans="1:13" x14ac:dyDescent="0.4">
      <c r="A661" s="2"/>
    </row>
    <row r="662" spans="1:13" x14ac:dyDescent="0.4">
      <c r="A662" s="3"/>
    </row>
    <row r="664" spans="1:13" x14ac:dyDescent="0.4">
      <c r="A664" s="4"/>
      <c r="B664" s="4"/>
    </row>
    <row r="665" spans="1:13" x14ac:dyDescent="0.4">
      <c r="A665" s="4"/>
      <c r="B665" s="4"/>
    </row>
    <row r="666" spans="1:13" x14ac:dyDescent="0.4">
      <c r="A666" s="4"/>
      <c r="B666" s="4"/>
    </row>
    <row r="668" spans="1:13" x14ac:dyDescent="0.4">
      <c r="A668" s="5"/>
      <c r="B668" s="6"/>
      <c r="C668" s="6"/>
      <c r="D668" s="6"/>
      <c r="E668" s="6"/>
      <c r="F668" s="6"/>
      <c r="G668" s="6"/>
      <c r="H668" s="6"/>
      <c r="I668" s="6"/>
      <c r="J668" s="6"/>
      <c r="K668" s="6"/>
      <c r="L668" s="6"/>
      <c r="M668" s="6"/>
    </row>
    <row r="669" spans="1:13" x14ac:dyDescent="0.4">
      <c r="A669" s="4"/>
      <c r="B669" s="7"/>
      <c r="C669" s="7"/>
      <c r="D669" s="7"/>
      <c r="E669" s="7"/>
      <c r="F669" s="7"/>
      <c r="G669" s="7"/>
      <c r="H669" s="7"/>
      <c r="I669" s="7"/>
      <c r="J669" s="7"/>
      <c r="K669" s="7"/>
      <c r="L669" s="7"/>
      <c r="M669" s="7"/>
    </row>
    <row r="670" spans="1:13" x14ac:dyDescent="0.4">
      <c r="A670" s="4"/>
      <c r="B670" s="7"/>
      <c r="C670" s="7"/>
      <c r="D670" s="7"/>
      <c r="E670" s="7"/>
      <c r="F670" s="7"/>
      <c r="G670" s="7"/>
      <c r="H670" s="7"/>
      <c r="I670" s="7"/>
      <c r="J670" s="7"/>
      <c r="K670" s="7"/>
      <c r="L670" s="7"/>
      <c r="M670" s="7"/>
    </row>
    <row r="671" spans="1:13" x14ac:dyDescent="0.4">
      <c r="A671" s="4"/>
      <c r="B671" s="7"/>
      <c r="C671" s="7"/>
      <c r="D671" s="7"/>
      <c r="E671" s="7"/>
      <c r="F671" s="7"/>
      <c r="G671" s="7"/>
      <c r="H671" s="7"/>
      <c r="I671" s="7"/>
      <c r="J671" s="7"/>
      <c r="K671" s="7"/>
      <c r="L671" s="7"/>
      <c r="M671" s="7"/>
    </row>
    <row r="672" spans="1:13" x14ac:dyDescent="0.4">
      <c r="A672" s="4"/>
      <c r="B672" s="7"/>
      <c r="C672" s="7"/>
      <c r="D672" s="7"/>
      <c r="E672" s="7"/>
      <c r="F672" s="7"/>
      <c r="G672" s="7"/>
      <c r="H672" s="7"/>
      <c r="I672" s="7"/>
      <c r="J672" s="7"/>
      <c r="K672" s="7"/>
      <c r="L672" s="7"/>
      <c r="M672" s="7"/>
    </row>
    <row r="673" spans="1:13" x14ac:dyDescent="0.4">
      <c r="A673" s="4"/>
      <c r="B673" s="7"/>
      <c r="C673" s="7"/>
      <c r="D673" s="7"/>
      <c r="E673" s="7"/>
      <c r="F673" s="7"/>
      <c r="G673" s="7"/>
      <c r="H673" s="7"/>
      <c r="I673" s="7"/>
      <c r="J673" s="7"/>
      <c r="K673" s="7"/>
      <c r="L673" s="7"/>
      <c r="M673" s="7"/>
    </row>
    <row r="674" spans="1:13" x14ac:dyDescent="0.4">
      <c r="A674" s="4"/>
      <c r="B674" s="7"/>
      <c r="C674" s="7"/>
      <c r="D674" s="7"/>
      <c r="E674" s="7"/>
      <c r="F674" s="7"/>
      <c r="G674" s="7"/>
      <c r="H674" s="7"/>
      <c r="I674" s="7"/>
      <c r="J674" s="7"/>
      <c r="K674" s="7"/>
      <c r="L674" s="7"/>
      <c r="M674" s="7"/>
    </row>
    <row r="675" spans="1:13" x14ac:dyDescent="0.4">
      <c r="A675" s="4"/>
      <c r="B675" s="7"/>
      <c r="C675" s="7"/>
      <c r="D675" s="7"/>
      <c r="E675" s="7"/>
      <c r="F675" s="7"/>
      <c r="G675" s="7"/>
      <c r="H675" s="7"/>
      <c r="I675" s="7"/>
      <c r="J675" s="7"/>
      <c r="K675" s="7"/>
      <c r="L675" s="7"/>
      <c r="M675" s="7"/>
    </row>
    <row r="676" spans="1:13" x14ac:dyDescent="0.4">
      <c r="A676" s="4"/>
      <c r="B676" s="7"/>
      <c r="C676" s="7"/>
      <c r="D676" s="7"/>
      <c r="E676" s="7"/>
      <c r="F676" s="7"/>
      <c r="G676" s="7"/>
      <c r="H676" s="7"/>
      <c r="I676" s="7"/>
      <c r="J676" s="7"/>
      <c r="K676" s="7"/>
      <c r="L676" s="7"/>
      <c r="M676" s="7"/>
    </row>
    <row r="677" spans="1:13" x14ac:dyDescent="0.4">
      <c r="A677" s="4"/>
      <c r="B677" s="7"/>
      <c r="C677" s="7"/>
      <c r="D677" s="7"/>
      <c r="E677" s="7"/>
      <c r="F677" s="7"/>
      <c r="G677" s="7"/>
      <c r="H677" s="7"/>
      <c r="I677" s="7"/>
      <c r="J677" s="7"/>
      <c r="K677" s="7"/>
      <c r="L677" s="7"/>
      <c r="M677" s="7"/>
    </row>
    <row r="678" spans="1:13" x14ac:dyDescent="0.4">
      <c r="A678" s="4"/>
      <c r="B678" s="7"/>
      <c r="C678" s="7"/>
      <c r="D678" s="7"/>
      <c r="E678" s="7"/>
      <c r="F678" s="7"/>
      <c r="G678" s="7"/>
      <c r="H678" s="7"/>
      <c r="I678" s="7"/>
      <c r="J678" s="7"/>
      <c r="K678" s="7"/>
      <c r="L678" s="7"/>
      <c r="M678" s="7"/>
    </row>
    <row r="679" spans="1:13" x14ac:dyDescent="0.4">
      <c r="A679" s="4"/>
      <c r="B679" s="7"/>
      <c r="C679" s="7"/>
      <c r="D679" s="7"/>
      <c r="E679" s="7"/>
      <c r="F679" s="7"/>
      <c r="G679" s="7"/>
      <c r="H679" s="7"/>
      <c r="I679" s="7"/>
      <c r="J679" s="7"/>
      <c r="K679" s="7"/>
      <c r="L679" s="7"/>
      <c r="M679" s="7"/>
    </row>
    <row r="680" spans="1:13" x14ac:dyDescent="0.4">
      <c r="A680" s="4"/>
      <c r="B680" s="7"/>
      <c r="C680" s="7"/>
      <c r="D680" s="7"/>
      <c r="E680" s="7"/>
      <c r="F680" s="7"/>
      <c r="G680" s="7"/>
      <c r="H680" s="7"/>
      <c r="I680" s="7"/>
      <c r="J680" s="7"/>
      <c r="K680" s="7"/>
      <c r="L680" s="7"/>
      <c r="M680" s="7"/>
    </row>
    <row r="681" spans="1:13" x14ac:dyDescent="0.4">
      <c r="A681" s="4"/>
      <c r="B681" s="7"/>
      <c r="C681" s="7"/>
      <c r="D681" s="7"/>
      <c r="E681" s="7"/>
      <c r="F681" s="7"/>
      <c r="G681" s="7"/>
      <c r="H681" s="7"/>
      <c r="I681" s="7"/>
      <c r="J681" s="7"/>
      <c r="K681" s="7"/>
      <c r="L681" s="7"/>
      <c r="M681" s="7"/>
    </row>
    <row r="682" spans="1:13" x14ac:dyDescent="0.4">
      <c r="A682" s="4"/>
      <c r="B682" s="7"/>
      <c r="C682" s="7"/>
      <c r="D682" s="7"/>
      <c r="E682" s="7"/>
      <c r="F682" s="7"/>
      <c r="G682" s="7"/>
      <c r="H682" s="7"/>
      <c r="I682" s="7"/>
      <c r="J682" s="7"/>
      <c r="K682" s="7"/>
      <c r="L682" s="7"/>
      <c r="M682" s="7"/>
    </row>
    <row r="683" spans="1:13" x14ac:dyDescent="0.4">
      <c r="A683" s="4"/>
      <c r="B683" s="7"/>
      <c r="C683" s="7"/>
      <c r="D683" s="7"/>
      <c r="E683" s="7"/>
      <c r="F683" s="7"/>
      <c r="G683" s="7"/>
      <c r="H683" s="7"/>
      <c r="I683" s="7"/>
      <c r="J683" s="7"/>
      <c r="K683" s="7"/>
      <c r="L683" s="7"/>
      <c r="M683" s="7"/>
    </row>
    <row r="684" spans="1:13" x14ac:dyDescent="0.4">
      <c r="A684" s="4"/>
      <c r="B684" s="7"/>
      <c r="C684" s="7"/>
      <c r="D684" s="7"/>
      <c r="E684" s="7"/>
      <c r="F684" s="7"/>
      <c r="G684" s="7"/>
      <c r="H684" s="7"/>
      <c r="I684" s="7"/>
      <c r="J684" s="7"/>
      <c r="K684" s="7"/>
      <c r="L684" s="7"/>
      <c r="M684" s="7"/>
    </row>
    <row r="686" spans="1:13" x14ac:dyDescent="0.4">
      <c r="A686" s="3"/>
    </row>
    <row r="687" spans="1:13" x14ac:dyDescent="0.4">
      <c r="A687" s="3"/>
    </row>
    <row r="688" spans="1:13" x14ac:dyDescent="0.4">
      <c r="A688" s="3"/>
    </row>
    <row r="691" spans="1:13" x14ac:dyDescent="0.4">
      <c r="A691" s="2"/>
    </row>
    <row r="692" spans="1:13" x14ac:dyDescent="0.4">
      <c r="A692" s="3"/>
    </row>
    <row r="694" spans="1:13" x14ac:dyDescent="0.4">
      <c r="A694" s="4"/>
      <c r="B694" s="4"/>
    </row>
    <row r="695" spans="1:13" x14ac:dyDescent="0.4">
      <c r="A695" s="4"/>
      <c r="B695" s="4"/>
    </row>
    <row r="696" spans="1:13" x14ac:dyDescent="0.4">
      <c r="A696" s="4"/>
      <c r="B696" s="4"/>
    </row>
    <row r="698" spans="1:13" x14ac:dyDescent="0.4">
      <c r="A698" s="5"/>
      <c r="B698" s="6"/>
      <c r="C698" s="6"/>
      <c r="D698" s="6"/>
      <c r="E698" s="6"/>
      <c r="F698" s="6"/>
      <c r="G698" s="6"/>
      <c r="H698" s="6"/>
      <c r="I698" s="6"/>
      <c r="J698" s="6"/>
      <c r="K698" s="6"/>
      <c r="L698" s="6"/>
      <c r="M698" s="6"/>
    </row>
    <row r="699" spans="1:13" x14ac:dyDescent="0.4">
      <c r="A699" s="4"/>
      <c r="B699" s="7"/>
      <c r="C699" s="7"/>
      <c r="D699" s="7"/>
      <c r="E699" s="7"/>
      <c r="F699" s="7"/>
      <c r="G699" s="7"/>
      <c r="H699" s="7"/>
      <c r="I699" s="7"/>
      <c r="J699" s="7"/>
      <c r="K699" s="7"/>
      <c r="L699" s="7"/>
      <c r="M699" s="7"/>
    </row>
    <row r="700" spans="1:13" x14ac:dyDescent="0.4">
      <c r="A700" s="4"/>
      <c r="B700" s="7"/>
      <c r="C700" s="7"/>
      <c r="D700" s="7"/>
      <c r="E700" s="7"/>
      <c r="F700" s="7"/>
      <c r="G700" s="7"/>
      <c r="H700" s="7"/>
      <c r="I700" s="7"/>
      <c r="J700" s="7"/>
      <c r="K700" s="7"/>
      <c r="L700" s="7"/>
      <c r="M700" s="7"/>
    </row>
    <row r="701" spans="1:13" x14ac:dyDescent="0.4">
      <c r="A701" s="4"/>
      <c r="B701" s="7"/>
      <c r="C701" s="7"/>
      <c r="D701" s="7"/>
      <c r="E701" s="7"/>
      <c r="F701" s="7"/>
      <c r="G701" s="7"/>
      <c r="H701" s="7"/>
      <c r="I701" s="7"/>
      <c r="J701" s="7"/>
      <c r="K701" s="7"/>
      <c r="L701" s="7"/>
      <c r="M701" s="7"/>
    </row>
    <row r="702" spans="1:13" x14ac:dyDescent="0.4">
      <c r="A702" s="4"/>
      <c r="B702" s="7"/>
      <c r="C702" s="7"/>
      <c r="D702" s="7"/>
      <c r="E702" s="7"/>
      <c r="F702" s="7"/>
      <c r="G702" s="7"/>
      <c r="H702" s="7"/>
      <c r="I702" s="7"/>
      <c r="J702" s="7"/>
      <c r="K702" s="7"/>
      <c r="L702" s="7"/>
      <c r="M702" s="7"/>
    </row>
    <row r="703" spans="1:13" x14ac:dyDescent="0.4">
      <c r="A703" s="4"/>
      <c r="B703" s="7"/>
      <c r="C703" s="7"/>
      <c r="D703" s="7"/>
      <c r="E703" s="7"/>
      <c r="F703" s="7"/>
      <c r="G703" s="7"/>
      <c r="H703" s="7"/>
      <c r="I703" s="7"/>
      <c r="J703" s="7"/>
      <c r="K703" s="7"/>
      <c r="L703" s="7"/>
      <c r="M703" s="7"/>
    </row>
    <row r="704" spans="1:13" x14ac:dyDescent="0.4">
      <c r="A704" s="4"/>
      <c r="B704" s="7"/>
      <c r="C704" s="7"/>
      <c r="D704" s="7"/>
      <c r="E704" s="7"/>
      <c r="F704" s="7"/>
      <c r="G704" s="7"/>
      <c r="H704" s="7"/>
      <c r="I704" s="7"/>
      <c r="J704" s="7"/>
      <c r="K704" s="7"/>
      <c r="L704" s="7"/>
      <c r="M704" s="7"/>
    </row>
    <row r="705" spans="1:13" x14ac:dyDescent="0.4">
      <c r="A705" s="4"/>
      <c r="B705" s="7"/>
      <c r="C705" s="7"/>
      <c r="D705" s="7"/>
      <c r="E705" s="7"/>
      <c r="F705" s="7"/>
      <c r="G705" s="7"/>
      <c r="H705" s="7"/>
      <c r="I705" s="7"/>
      <c r="J705" s="7"/>
      <c r="K705" s="7"/>
      <c r="L705" s="7"/>
      <c r="M705" s="7"/>
    </row>
    <row r="706" spans="1:13" x14ac:dyDescent="0.4">
      <c r="A706" s="4"/>
      <c r="B706" s="7"/>
      <c r="C706" s="7"/>
      <c r="D706" s="7"/>
      <c r="E706" s="7"/>
      <c r="F706" s="7"/>
      <c r="G706" s="7"/>
      <c r="H706" s="7"/>
      <c r="I706" s="7"/>
      <c r="J706" s="7"/>
      <c r="K706" s="7"/>
      <c r="L706" s="7"/>
      <c r="M706" s="7"/>
    </row>
    <row r="707" spans="1:13" x14ac:dyDescent="0.4">
      <c r="A707" s="4"/>
      <c r="B707" s="7"/>
      <c r="C707" s="7"/>
      <c r="D707" s="7"/>
      <c r="E707" s="7"/>
      <c r="F707" s="7"/>
      <c r="G707" s="7"/>
      <c r="H707" s="7"/>
      <c r="I707" s="7"/>
      <c r="J707" s="7"/>
      <c r="K707" s="7"/>
      <c r="L707" s="7"/>
      <c r="M707" s="7"/>
    </row>
    <row r="708" spans="1:13" x14ac:dyDescent="0.4">
      <c r="A708" s="4"/>
      <c r="B708" s="7"/>
      <c r="C708" s="7"/>
      <c r="D708" s="7"/>
      <c r="E708" s="7"/>
      <c r="F708" s="7"/>
      <c r="G708" s="7"/>
      <c r="H708" s="7"/>
      <c r="I708" s="7"/>
      <c r="J708" s="7"/>
      <c r="K708" s="7"/>
      <c r="L708" s="7"/>
      <c r="M708" s="7"/>
    </row>
    <row r="709" spans="1:13" x14ac:dyDescent="0.4">
      <c r="A709" s="4"/>
      <c r="B709" s="7"/>
      <c r="C709" s="7"/>
      <c r="D709" s="7"/>
      <c r="E709" s="7"/>
      <c r="F709" s="7"/>
      <c r="G709" s="7"/>
      <c r="H709" s="7"/>
      <c r="I709" s="7"/>
      <c r="J709" s="7"/>
      <c r="K709" s="7"/>
      <c r="L709" s="7"/>
      <c r="M709" s="7"/>
    </row>
    <row r="710" spans="1:13" x14ac:dyDescent="0.4">
      <c r="A710" s="4"/>
      <c r="B710" s="7"/>
      <c r="C710" s="7"/>
      <c r="D710" s="7"/>
      <c r="E710" s="7"/>
      <c r="F710" s="7"/>
      <c r="G710" s="7"/>
      <c r="H710" s="7"/>
      <c r="I710" s="7"/>
      <c r="J710" s="7"/>
      <c r="K710" s="7"/>
      <c r="L710" s="7"/>
      <c r="M710" s="7"/>
    </row>
    <row r="711" spans="1:13" x14ac:dyDescent="0.4">
      <c r="A711" s="4"/>
      <c r="B711" s="7"/>
      <c r="C711" s="7"/>
      <c r="D711" s="7"/>
      <c r="E711" s="7"/>
      <c r="F711" s="7"/>
      <c r="G711" s="7"/>
      <c r="H711" s="7"/>
      <c r="I711" s="7"/>
      <c r="J711" s="7"/>
      <c r="K711" s="7"/>
      <c r="L711" s="7"/>
      <c r="M711" s="7"/>
    </row>
    <row r="712" spans="1:13" x14ac:dyDescent="0.4">
      <c r="A712" s="4"/>
      <c r="B712" s="7"/>
      <c r="C712" s="7"/>
      <c r="D712" s="7"/>
      <c r="E712" s="7"/>
      <c r="F712" s="7"/>
      <c r="G712" s="7"/>
      <c r="H712" s="7"/>
      <c r="I712" s="7"/>
      <c r="J712" s="7"/>
      <c r="K712" s="7"/>
      <c r="L712" s="7"/>
      <c r="M712" s="7"/>
    </row>
    <row r="713" spans="1:13" x14ac:dyDescent="0.4">
      <c r="A713" s="4"/>
      <c r="B713" s="7"/>
      <c r="C713" s="7"/>
      <c r="D713" s="7"/>
      <c r="E713" s="7"/>
      <c r="F713" s="7"/>
      <c r="G713" s="7"/>
      <c r="H713" s="7"/>
      <c r="I713" s="7"/>
      <c r="J713" s="7"/>
      <c r="K713" s="7"/>
      <c r="L713" s="7"/>
      <c r="M713" s="7"/>
    </row>
    <row r="714" spans="1:13" x14ac:dyDescent="0.4">
      <c r="A714" s="4"/>
      <c r="B714" s="7"/>
      <c r="C714" s="7"/>
      <c r="D714" s="7"/>
      <c r="E714" s="7"/>
      <c r="F714" s="7"/>
      <c r="G714" s="7"/>
      <c r="H714" s="7"/>
      <c r="I714" s="7"/>
      <c r="J714" s="7"/>
      <c r="K714" s="7"/>
      <c r="L714" s="7"/>
      <c r="M714" s="7"/>
    </row>
    <row r="716" spans="1:13" x14ac:dyDescent="0.4">
      <c r="A716" s="3"/>
    </row>
    <row r="717" spans="1:13" x14ac:dyDescent="0.4">
      <c r="A717" s="3"/>
    </row>
    <row r="718" spans="1:13" x14ac:dyDescent="0.4">
      <c r="A718" s="3"/>
    </row>
    <row r="721" spans="1:13" x14ac:dyDescent="0.4">
      <c r="A721" s="2"/>
    </row>
    <row r="722" spans="1:13" x14ac:dyDescent="0.4">
      <c r="A722" s="3"/>
    </row>
    <row r="724" spans="1:13" x14ac:dyDescent="0.4">
      <c r="A724" s="4"/>
      <c r="B724" s="4"/>
    </row>
    <row r="725" spans="1:13" x14ac:dyDescent="0.4">
      <c r="A725" s="4"/>
      <c r="B725" s="4"/>
    </row>
    <row r="726" spans="1:13" x14ac:dyDescent="0.4">
      <c r="A726" s="4"/>
      <c r="B726" s="4"/>
    </row>
    <row r="728" spans="1:13" x14ac:dyDescent="0.4">
      <c r="A728" s="5"/>
      <c r="B728" s="6"/>
      <c r="C728" s="6"/>
      <c r="D728" s="6"/>
      <c r="E728" s="6"/>
      <c r="F728" s="6"/>
      <c r="G728" s="6"/>
      <c r="H728" s="6"/>
      <c r="I728" s="6"/>
      <c r="J728" s="6"/>
      <c r="K728" s="6"/>
      <c r="L728" s="6"/>
      <c r="M728" s="6"/>
    </row>
    <row r="729" spans="1:13" x14ac:dyDescent="0.4">
      <c r="A729" s="4"/>
      <c r="B729" s="7"/>
      <c r="C729" s="7"/>
      <c r="D729" s="7"/>
      <c r="E729" s="7"/>
      <c r="F729" s="7"/>
      <c r="G729" s="7"/>
      <c r="H729" s="7"/>
      <c r="I729" s="7"/>
      <c r="J729" s="7"/>
      <c r="K729" s="7"/>
      <c r="L729" s="7"/>
      <c r="M729" s="7"/>
    </row>
    <row r="730" spans="1:13" x14ac:dyDescent="0.4">
      <c r="A730" s="4"/>
      <c r="B730" s="7"/>
      <c r="C730" s="7"/>
      <c r="D730" s="7"/>
      <c r="E730" s="7"/>
      <c r="F730" s="7"/>
      <c r="G730" s="7"/>
      <c r="H730" s="7"/>
      <c r="I730" s="7"/>
      <c r="J730" s="7"/>
      <c r="K730" s="7"/>
      <c r="L730" s="7"/>
      <c r="M730" s="7"/>
    </row>
    <row r="731" spans="1:13" x14ac:dyDescent="0.4">
      <c r="A731" s="4"/>
      <c r="B731" s="7"/>
      <c r="C731" s="7"/>
      <c r="D731" s="7"/>
      <c r="E731" s="7"/>
      <c r="F731" s="7"/>
      <c r="G731" s="7"/>
      <c r="H731" s="7"/>
      <c r="I731" s="7"/>
      <c r="J731" s="7"/>
      <c r="K731" s="7"/>
      <c r="L731" s="7"/>
      <c r="M731" s="7"/>
    </row>
    <row r="732" spans="1:13" x14ac:dyDescent="0.4">
      <c r="A732" s="4"/>
      <c r="B732" s="7"/>
      <c r="C732" s="7"/>
      <c r="D732" s="7"/>
      <c r="E732" s="7"/>
      <c r="F732" s="7"/>
      <c r="G732" s="7"/>
      <c r="H732" s="7"/>
      <c r="I732" s="7"/>
      <c r="J732" s="7"/>
      <c r="K732" s="7"/>
      <c r="L732" s="7"/>
      <c r="M732" s="7"/>
    </row>
    <row r="733" spans="1:13" x14ac:dyDescent="0.4">
      <c r="A733" s="4"/>
      <c r="B733" s="7"/>
      <c r="C733" s="7"/>
      <c r="D733" s="7"/>
      <c r="E733" s="7"/>
      <c r="F733" s="7"/>
      <c r="G733" s="7"/>
      <c r="H733" s="7"/>
      <c r="I733" s="7"/>
      <c r="J733" s="7"/>
      <c r="K733" s="7"/>
      <c r="L733" s="7"/>
      <c r="M733" s="7"/>
    </row>
    <row r="734" spans="1:13" x14ac:dyDescent="0.4">
      <c r="A734" s="4"/>
      <c r="B734" s="7"/>
      <c r="C734" s="7"/>
      <c r="D734" s="7"/>
      <c r="E734" s="7"/>
      <c r="F734" s="7"/>
      <c r="G734" s="7"/>
      <c r="H734" s="7"/>
      <c r="I734" s="7"/>
      <c r="J734" s="7"/>
      <c r="K734" s="7"/>
      <c r="L734" s="7"/>
      <c r="M734" s="7"/>
    </row>
    <row r="735" spans="1:13" x14ac:dyDescent="0.4">
      <c r="A735" s="4"/>
      <c r="B735" s="7"/>
      <c r="C735" s="7"/>
      <c r="D735" s="7"/>
      <c r="E735" s="7"/>
      <c r="F735" s="7"/>
      <c r="G735" s="7"/>
      <c r="H735" s="7"/>
      <c r="I735" s="7"/>
      <c r="J735" s="7"/>
      <c r="K735" s="7"/>
      <c r="L735" s="7"/>
      <c r="M735" s="7"/>
    </row>
    <row r="736" spans="1:13" x14ac:dyDescent="0.4">
      <c r="A736" s="4"/>
      <c r="B736" s="7"/>
      <c r="C736" s="7"/>
      <c r="D736" s="7"/>
      <c r="E736" s="7"/>
      <c r="F736" s="7"/>
      <c r="G736" s="7"/>
      <c r="H736" s="7"/>
      <c r="I736" s="7"/>
      <c r="J736" s="7"/>
      <c r="K736" s="7"/>
      <c r="L736" s="7"/>
      <c r="M736" s="7"/>
    </row>
    <row r="737" spans="1:13" x14ac:dyDescent="0.4">
      <c r="A737" s="4"/>
      <c r="B737" s="7"/>
      <c r="C737" s="7"/>
      <c r="D737" s="7"/>
      <c r="E737" s="7"/>
      <c r="F737" s="7"/>
      <c r="G737" s="7"/>
      <c r="H737" s="7"/>
      <c r="I737" s="7"/>
      <c r="J737" s="7"/>
      <c r="K737" s="7"/>
      <c r="L737" s="7"/>
      <c r="M737" s="7"/>
    </row>
    <row r="738" spans="1:13" x14ac:dyDescent="0.4">
      <c r="A738" s="4"/>
      <c r="B738" s="7"/>
      <c r="C738" s="7"/>
      <c r="D738" s="7"/>
      <c r="E738" s="7"/>
      <c r="F738" s="7"/>
      <c r="G738" s="7"/>
      <c r="H738" s="7"/>
      <c r="I738" s="7"/>
      <c r="J738" s="7"/>
      <c r="K738" s="7"/>
      <c r="L738" s="7"/>
      <c r="M738" s="7"/>
    </row>
    <row r="739" spans="1:13" x14ac:dyDescent="0.4">
      <c r="A739" s="4"/>
      <c r="B739" s="7"/>
      <c r="C739" s="7"/>
      <c r="D739" s="7"/>
      <c r="E739" s="7"/>
      <c r="F739" s="7"/>
      <c r="G739" s="7"/>
      <c r="H739" s="7"/>
      <c r="I739" s="7"/>
      <c r="J739" s="7"/>
      <c r="K739" s="7"/>
      <c r="L739" s="7"/>
      <c r="M739" s="7"/>
    </row>
    <row r="740" spans="1:13" x14ac:dyDescent="0.4">
      <c r="A740" s="4"/>
      <c r="B740" s="7"/>
      <c r="C740" s="7"/>
      <c r="D740" s="7"/>
      <c r="E740" s="7"/>
      <c r="F740" s="7"/>
      <c r="G740" s="7"/>
      <c r="H740" s="7"/>
      <c r="I740" s="7"/>
      <c r="J740" s="7"/>
      <c r="K740" s="7"/>
      <c r="L740" s="7"/>
      <c r="M740" s="7"/>
    </row>
    <row r="741" spans="1:13" x14ac:dyDescent="0.4">
      <c r="A741" s="4"/>
      <c r="B741" s="7"/>
      <c r="C741" s="7"/>
      <c r="D741" s="7"/>
      <c r="E741" s="7"/>
      <c r="F741" s="7"/>
      <c r="G741" s="7"/>
      <c r="H741" s="7"/>
      <c r="I741" s="7"/>
      <c r="J741" s="7"/>
      <c r="K741" s="7"/>
      <c r="L741" s="7"/>
      <c r="M741" s="7"/>
    </row>
    <row r="742" spans="1:13" x14ac:dyDescent="0.4">
      <c r="A742" s="4"/>
      <c r="B742" s="7"/>
      <c r="C742" s="7"/>
      <c r="D742" s="7"/>
      <c r="E742" s="7"/>
      <c r="F742" s="7"/>
      <c r="G742" s="7"/>
      <c r="H742" s="7"/>
      <c r="I742" s="7"/>
      <c r="J742" s="7"/>
      <c r="K742" s="7"/>
      <c r="L742" s="7"/>
      <c r="M742" s="7"/>
    </row>
    <row r="743" spans="1:13" x14ac:dyDescent="0.4">
      <c r="A743" s="4"/>
      <c r="B743" s="7"/>
      <c r="C743" s="7"/>
      <c r="D743" s="7"/>
      <c r="E743" s="7"/>
      <c r="F743" s="7"/>
      <c r="G743" s="7"/>
      <c r="H743" s="7"/>
      <c r="I743" s="7"/>
      <c r="J743" s="7"/>
      <c r="K743" s="7"/>
      <c r="L743" s="7"/>
      <c r="M743" s="7"/>
    </row>
    <row r="744" spans="1:13" x14ac:dyDescent="0.4">
      <c r="A744" s="4"/>
      <c r="B744" s="7"/>
      <c r="C744" s="7"/>
      <c r="D744" s="7"/>
      <c r="E744" s="7"/>
      <c r="F744" s="7"/>
      <c r="G744" s="7"/>
      <c r="H744" s="7"/>
      <c r="I744" s="7"/>
      <c r="J744" s="7"/>
      <c r="K744" s="7"/>
      <c r="L744" s="7"/>
      <c r="M744" s="7"/>
    </row>
    <row r="746" spans="1:13" x14ac:dyDescent="0.4">
      <c r="A746" s="3"/>
    </row>
    <row r="747" spans="1:13" x14ac:dyDescent="0.4">
      <c r="A747" s="3"/>
    </row>
    <row r="748" spans="1:13" x14ac:dyDescent="0.4">
      <c r="A748" s="3"/>
    </row>
    <row r="751" spans="1:13" x14ac:dyDescent="0.4">
      <c r="A751" s="2"/>
    </row>
    <row r="752" spans="1:13" x14ac:dyDescent="0.4">
      <c r="A752" s="3"/>
    </row>
    <row r="754" spans="1:13" x14ac:dyDescent="0.4">
      <c r="A754" s="4"/>
      <c r="B754" s="4"/>
    </row>
    <row r="755" spans="1:13" x14ac:dyDescent="0.4">
      <c r="A755" s="4"/>
      <c r="B755" s="4"/>
    </row>
    <row r="756" spans="1:13" x14ac:dyDescent="0.4">
      <c r="A756" s="4"/>
      <c r="B756" s="4"/>
    </row>
    <row r="758" spans="1:13" x14ac:dyDescent="0.4">
      <c r="A758" s="5"/>
      <c r="B758" s="6"/>
      <c r="C758" s="6"/>
      <c r="D758" s="6"/>
      <c r="E758" s="6"/>
      <c r="F758" s="6"/>
      <c r="G758" s="6"/>
      <c r="H758" s="6"/>
      <c r="I758" s="6"/>
      <c r="J758" s="6"/>
      <c r="K758" s="6"/>
      <c r="L758" s="6"/>
      <c r="M758" s="6"/>
    </row>
    <row r="759" spans="1:13" x14ac:dyDescent="0.4">
      <c r="A759" s="4"/>
      <c r="B759" s="7"/>
      <c r="C759" s="7"/>
      <c r="D759" s="7"/>
      <c r="E759" s="7"/>
      <c r="F759" s="7"/>
      <c r="G759" s="7"/>
      <c r="H759" s="7"/>
      <c r="I759" s="7"/>
      <c r="J759" s="7"/>
      <c r="K759" s="7"/>
      <c r="L759" s="7"/>
      <c r="M759" s="7"/>
    </row>
    <row r="760" spans="1:13" x14ac:dyDescent="0.4">
      <c r="A760" s="4"/>
      <c r="B760" s="7"/>
      <c r="C760" s="7"/>
      <c r="D760" s="7"/>
      <c r="E760" s="7"/>
      <c r="F760" s="7"/>
      <c r="G760" s="7"/>
      <c r="H760" s="7"/>
      <c r="I760" s="7"/>
      <c r="J760" s="7"/>
      <c r="K760" s="7"/>
      <c r="L760" s="7"/>
      <c r="M760" s="7"/>
    </row>
    <row r="761" spans="1:13" x14ac:dyDescent="0.4">
      <c r="A761" s="4"/>
      <c r="B761" s="7"/>
      <c r="C761" s="7"/>
      <c r="D761" s="7"/>
      <c r="E761" s="7"/>
      <c r="F761" s="7"/>
      <c r="G761" s="7"/>
      <c r="H761" s="7"/>
      <c r="I761" s="7"/>
      <c r="J761" s="7"/>
      <c r="K761" s="7"/>
      <c r="L761" s="7"/>
      <c r="M761" s="7"/>
    </row>
    <row r="762" spans="1:13" x14ac:dyDescent="0.4">
      <c r="A762" s="4"/>
      <c r="B762" s="7"/>
      <c r="C762" s="7"/>
      <c r="D762" s="7"/>
      <c r="E762" s="7"/>
      <c r="F762" s="7"/>
      <c r="G762" s="7"/>
      <c r="H762" s="7"/>
      <c r="I762" s="7"/>
      <c r="J762" s="7"/>
      <c r="K762" s="7"/>
      <c r="L762" s="7"/>
      <c r="M762" s="7"/>
    </row>
    <row r="763" spans="1:13" x14ac:dyDescent="0.4">
      <c r="A763" s="4"/>
      <c r="B763" s="7"/>
      <c r="C763" s="7"/>
      <c r="D763" s="7"/>
      <c r="E763" s="7"/>
      <c r="F763" s="7"/>
      <c r="G763" s="7"/>
      <c r="H763" s="7"/>
      <c r="I763" s="7"/>
      <c r="J763" s="7"/>
      <c r="K763" s="7"/>
      <c r="L763" s="7"/>
      <c r="M763" s="7"/>
    </row>
    <row r="764" spans="1:13" x14ac:dyDescent="0.4">
      <c r="A764" s="4"/>
      <c r="B764" s="7"/>
      <c r="C764" s="7"/>
      <c r="D764" s="7"/>
      <c r="E764" s="7"/>
      <c r="F764" s="7"/>
      <c r="G764" s="7"/>
      <c r="H764" s="7"/>
      <c r="I764" s="7"/>
      <c r="J764" s="7"/>
      <c r="K764" s="7"/>
      <c r="L764" s="7"/>
      <c r="M764" s="7"/>
    </row>
    <row r="765" spans="1:13" x14ac:dyDescent="0.4">
      <c r="A765" s="4"/>
      <c r="B765" s="7"/>
      <c r="C765" s="7"/>
      <c r="D765" s="7"/>
      <c r="E765" s="7"/>
      <c r="F765" s="7"/>
      <c r="G765" s="7"/>
      <c r="H765" s="7"/>
      <c r="I765" s="7"/>
      <c r="J765" s="7"/>
      <c r="K765" s="7"/>
      <c r="L765" s="7"/>
      <c r="M765" s="7"/>
    </row>
    <row r="766" spans="1:13" x14ac:dyDescent="0.4">
      <c r="A766" s="4"/>
      <c r="B766" s="7"/>
      <c r="C766" s="7"/>
      <c r="D766" s="7"/>
      <c r="E766" s="7"/>
      <c r="F766" s="7"/>
      <c r="G766" s="7"/>
      <c r="H766" s="7"/>
      <c r="I766" s="7"/>
      <c r="J766" s="7"/>
      <c r="K766" s="7"/>
      <c r="L766" s="7"/>
      <c r="M766" s="7"/>
    </row>
    <row r="767" spans="1:13" x14ac:dyDescent="0.4">
      <c r="A767" s="4"/>
      <c r="B767" s="7"/>
      <c r="C767" s="7"/>
      <c r="D767" s="7"/>
      <c r="E767" s="7"/>
      <c r="F767" s="7"/>
      <c r="G767" s="7"/>
      <c r="H767" s="7"/>
      <c r="I767" s="7"/>
      <c r="J767" s="7"/>
      <c r="K767" s="7"/>
      <c r="L767" s="7"/>
      <c r="M767" s="7"/>
    </row>
    <row r="768" spans="1:13" x14ac:dyDescent="0.4">
      <c r="A768" s="4"/>
      <c r="B768" s="7"/>
      <c r="C768" s="7"/>
      <c r="D768" s="7"/>
      <c r="E768" s="7"/>
      <c r="F768" s="7"/>
      <c r="G768" s="7"/>
      <c r="H768" s="7"/>
      <c r="I768" s="7"/>
      <c r="J768" s="7"/>
      <c r="K768" s="7"/>
      <c r="L768" s="7"/>
      <c r="M768" s="7"/>
    </row>
    <row r="769" spans="1:13" x14ac:dyDescent="0.4">
      <c r="A769" s="4"/>
      <c r="B769" s="7"/>
      <c r="C769" s="7"/>
      <c r="D769" s="7"/>
      <c r="E769" s="7"/>
      <c r="F769" s="7"/>
      <c r="G769" s="7"/>
      <c r="H769" s="7"/>
      <c r="I769" s="7"/>
      <c r="J769" s="7"/>
      <c r="K769" s="7"/>
      <c r="L769" s="7"/>
      <c r="M769" s="7"/>
    </row>
    <row r="770" spans="1:13" x14ac:dyDescent="0.4">
      <c r="A770" s="4"/>
      <c r="B770" s="7"/>
      <c r="C770" s="7"/>
      <c r="D770" s="7"/>
      <c r="E770" s="7"/>
      <c r="F770" s="7"/>
      <c r="G770" s="7"/>
      <c r="H770" s="7"/>
      <c r="I770" s="7"/>
      <c r="J770" s="7"/>
      <c r="K770" s="7"/>
      <c r="L770" s="7"/>
      <c r="M770" s="7"/>
    </row>
    <row r="771" spans="1:13" x14ac:dyDescent="0.4">
      <c r="A771" s="4"/>
      <c r="B771" s="7"/>
      <c r="C771" s="7"/>
      <c r="D771" s="7"/>
      <c r="E771" s="7"/>
      <c r="F771" s="7"/>
      <c r="G771" s="7"/>
      <c r="H771" s="7"/>
      <c r="I771" s="7"/>
      <c r="J771" s="7"/>
      <c r="K771" s="7"/>
      <c r="L771" s="7"/>
      <c r="M771" s="7"/>
    </row>
    <row r="772" spans="1:13" x14ac:dyDescent="0.4">
      <c r="A772" s="4"/>
      <c r="B772" s="7"/>
      <c r="C772" s="7"/>
      <c r="D772" s="7"/>
      <c r="E772" s="7"/>
      <c r="F772" s="7"/>
      <c r="G772" s="7"/>
      <c r="H772" s="7"/>
      <c r="I772" s="7"/>
      <c r="J772" s="7"/>
      <c r="K772" s="7"/>
      <c r="L772" s="7"/>
      <c r="M772" s="7"/>
    </row>
    <row r="773" spans="1:13" x14ac:dyDescent="0.4">
      <c r="A773" s="4"/>
      <c r="B773" s="7"/>
      <c r="C773" s="7"/>
      <c r="D773" s="7"/>
      <c r="E773" s="7"/>
      <c r="F773" s="7"/>
      <c r="G773" s="7"/>
      <c r="H773" s="7"/>
      <c r="I773" s="7"/>
      <c r="J773" s="7"/>
      <c r="K773" s="7"/>
      <c r="L773" s="7"/>
      <c r="M773" s="7"/>
    </row>
    <row r="774" spans="1:13" x14ac:dyDescent="0.4">
      <c r="A774" s="4"/>
      <c r="B774" s="7"/>
      <c r="C774" s="7"/>
      <c r="D774" s="7"/>
      <c r="E774" s="7"/>
      <c r="F774" s="7"/>
      <c r="G774" s="7"/>
      <c r="H774" s="7"/>
      <c r="I774" s="7"/>
      <c r="J774" s="7"/>
      <c r="K774" s="7"/>
      <c r="L774" s="7"/>
      <c r="M774" s="7"/>
    </row>
    <row r="776" spans="1:13" x14ac:dyDescent="0.4">
      <c r="A776" s="3"/>
    </row>
    <row r="777" spans="1:13" x14ac:dyDescent="0.4">
      <c r="A777" s="3"/>
    </row>
    <row r="778" spans="1:13" x14ac:dyDescent="0.4">
      <c r="A778" s="3"/>
    </row>
    <row r="781" spans="1:13" x14ac:dyDescent="0.4">
      <c r="A781" s="2"/>
    </row>
    <row r="782" spans="1:13" x14ac:dyDescent="0.4">
      <c r="A782" s="3"/>
    </row>
    <row r="784" spans="1:13" x14ac:dyDescent="0.4">
      <c r="A784" s="4"/>
      <c r="B784" s="4"/>
    </row>
    <row r="785" spans="1:13" x14ac:dyDescent="0.4">
      <c r="A785" s="4"/>
      <c r="B785" s="4"/>
    </row>
    <row r="786" spans="1:13" x14ac:dyDescent="0.4">
      <c r="A786" s="4"/>
      <c r="B786" s="4"/>
    </row>
    <row r="788" spans="1:13" x14ac:dyDescent="0.4">
      <c r="A788" s="5"/>
      <c r="B788" s="6"/>
      <c r="C788" s="6"/>
      <c r="D788" s="6"/>
      <c r="E788" s="6"/>
      <c r="F788" s="6"/>
      <c r="G788" s="6"/>
      <c r="H788" s="6"/>
      <c r="I788" s="6"/>
      <c r="J788" s="6"/>
      <c r="K788" s="6"/>
      <c r="L788" s="6"/>
      <c r="M788" s="6"/>
    </row>
    <row r="789" spans="1:13" x14ac:dyDescent="0.4">
      <c r="A789" s="4"/>
      <c r="B789" s="7"/>
      <c r="C789" s="7"/>
      <c r="D789" s="7"/>
      <c r="E789" s="7"/>
      <c r="F789" s="7"/>
      <c r="G789" s="7"/>
      <c r="H789" s="7"/>
      <c r="I789" s="7"/>
      <c r="J789" s="7"/>
      <c r="K789" s="7"/>
      <c r="L789" s="7"/>
      <c r="M789" s="7"/>
    </row>
    <row r="790" spans="1:13" x14ac:dyDescent="0.4">
      <c r="A790" s="4"/>
      <c r="B790" s="7"/>
      <c r="C790" s="7"/>
      <c r="D790" s="7"/>
      <c r="E790" s="7"/>
      <c r="F790" s="7"/>
      <c r="G790" s="7"/>
      <c r="H790" s="7"/>
      <c r="I790" s="7"/>
      <c r="J790" s="7"/>
      <c r="K790" s="7"/>
      <c r="L790" s="7"/>
      <c r="M790" s="7"/>
    </row>
    <row r="791" spans="1:13" x14ac:dyDescent="0.4">
      <c r="A791" s="4"/>
      <c r="B791" s="7"/>
      <c r="C791" s="7"/>
      <c r="D791" s="7"/>
      <c r="E791" s="7"/>
      <c r="F791" s="7"/>
      <c r="G791" s="7"/>
      <c r="H791" s="7"/>
      <c r="I791" s="7"/>
      <c r="J791" s="7"/>
      <c r="K791" s="7"/>
      <c r="L791" s="7"/>
      <c r="M791" s="7"/>
    </row>
    <row r="792" spans="1:13" x14ac:dyDescent="0.4">
      <c r="A792" s="4"/>
      <c r="B792" s="7"/>
      <c r="C792" s="7"/>
      <c r="D792" s="7"/>
      <c r="E792" s="7"/>
      <c r="F792" s="7"/>
      <c r="G792" s="7"/>
      <c r="H792" s="7"/>
      <c r="I792" s="7"/>
      <c r="J792" s="7"/>
      <c r="K792" s="7"/>
      <c r="L792" s="7"/>
      <c r="M792" s="7"/>
    </row>
    <row r="793" spans="1:13" x14ac:dyDescent="0.4">
      <c r="A793" s="4"/>
      <c r="B793" s="7"/>
      <c r="C793" s="7"/>
      <c r="D793" s="7"/>
      <c r="E793" s="7"/>
      <c r="F793" s="7"/>
      <c r="G793" s="7"/>
      <c r="H793" s="7"/>
      <c r="I793" s="7"/>
      <c r="J793" s="7"/>
      <c r="K793" s="7"/>
      <c r="L793" s="7"/>
      <c r="M793" s="7"/>
    </row>
    <row r="794" spans="1:13" x14ac:dyDescent="0.4">
      <c r="A794" s="4"/>
      <c r="B794" s="7"/>
      <c r="C794" s="7"/>
      <c r="D794" s="7"/>
      <c r="E794" s="7"/>
      <c r="F794" s="7"/>
      <c r="G794" s="7"/>
      <c r="H794" s="7"/>
      <c r="I794" s="7"/>
      <c r="J794" s="7"/>
      <c r="K794" s="7"/>
      <c r="L794" s="7"/>
      <c r="M794" s="7"/>
    </row>
    <row r="795" spans="1:13" x14ac:dyDescent="0.4">
      <c r="A795" s="4"/>
      <c r="B795" s="7"/>
      <c r="C795" s="7"/>
      <c r="D795" s="7"/>
      <c r="E795" s="7"/>
      <c r="F795" s="7"/>
      <c r="G795" s="7"/>
      <c r="H795" s="7"/>
      <c r="I795" s="7"/>
      <c r="J795" s="7"/>
      <c r="K795" s="7"/>
      <c r="L795" s="7"/>
      <c r="M795" s="7"/>
    </row>
    <row r="796" spans="1:13" x14ac:dyDescent="0.4">
      <c r="A796" s="4"/>
      <c r="B796" s="7"/>
      <c r="C796" s="7"/>
      <c r="D796" s="7"/>
      <c r="E796" s="7"/>
      <c r="F796" s="7"/>
      <c r="G796" s="7"/>
      <c r="H796" s="7"/>
      <c r="I796" s="7"/>
      <c r="J796" s="7"/>
      <c r="K796" s="7"/>
      <c r="L796" s="7"/>
      <c r="M796" s="7"/>
    </row>
    <row r="797" spans="1:13" x14ac:dyDescent="0.4">
      <c r="A797" s="4"/>
      <c r="B797" s="7"/>
      <c r="C797" s="7"/>
      <c r="D797" s="7"/>
      <c r="E797" s="7"/>
      <c r="F797" s="7"/>
      <c r="G797" s="7"/>
      <c r="H797" s="7"/>
      <c r="I797" s="7"/>
      <c r="J797" s="7"/>
      <c r="K797" s="7"/>
      <c r="L797" s="7"/>
      <c r="M797" s="7"/>
    </row>
    <row r="798" spans="1:13" x14ac:dyDescent="0.4">
      <c r="A798" s="4"/>
      <c r="B798" s="7"/>
      <c r="C798" s="7"/>
      <c r="D798" s="7"/>
      <c r="E798" s="7"/>
      <c r="F798" s="7"/>
      <c r="G798" s="7"/>
      <c r="H798" s="7"/>
      <c r="I798" s="7"/>
      <c r="J798" s="7"/>
      <c r="K798" s="7"/>
      <c r="L798" s="7"/>
      <c r="M798" s="7"/>
    </row>
    <row r="799" spans="1:13" x14ac:dyDescent="0.4">
      <c r="A799" s="4"/>
      <c r="B799" s="7"/>
      <c r="C799" s="7"/>
      <c r="D799" s="7"/>
      <c r="E799" s="7"/>
      <c r="F799" s="7"/>
      <c r="G799" s="7"/>
      <c r="H799" s="7"/>
      <c r="I799" s="7"/>
      <c r="J799" s="7"/>
      <c r="K799" s="7"/>
      <c r="L799" s="7"/>
      <c r="M799" s="7"/>
    </row>
    <row r="800" spans="1:13" x14ac:dyDescent="0.4">
      <c r="A800" s="4"/>
      <c r="B800" s="7"/>
      <c r="C800" s="7"/>
      <c r="D800" s="7"/>
      <c r="E800" s="7"/>
      <c r="F800" s="7"/>
      <c r="G800" s="7"/>
      <c r="H800" s="7"/>
      <c r="I800" s="7"/>
      <c r="J800" s="7"/>
      <c r="K800" s="7"/>
      <c r="L800" s="7"/>
      <c r="M800" s="7"/>
    </row>
    <row r="801" spans="1:13" x14ac:dyDescent="0.4">
      <c r="A801" s="4"/>
      <c r="B801" s="7"/>
      <c r="C801" s="7"/>
      <c r="D801" s="7"/>
      <c r="E801" s="7"/>
      <c r="F801" s="7"/>
      <c r="G801" s="7"/>
      <c r="H801" s="7"/>
      <c r="I801" s="7"/>
      <c r="J801" s="7"/>
      <c r="K801" s="7"/>
      <c r="L801" s="7"/>
      <c r="M801" s="7"/>
    </row>
    <row r="802" spans="1:13" x14ac:dyDescent="0.4">
      <c r="A802" s="4"/>
      <c r="B802" s="7"/>
      <c r="C802" s="7"/>
      <c r="D802" s="7"/>
      <c r="E802" s="7"/>
      <c r="F802" s="7"/>
      <c r="G802" s="7"/>
      <c r="H802" s="7"/>
      <c r="I802" s="7"/>
      <c r="J802" s="7"/>
      <c r="K802" s="7"/>
      <c r="L802" s="7"/>
      <c r="M802" s="7"/>
    </row>
    <row r="803" spans="1:13" x14ac:dyDescent="0.4">
      <c r="A803" s="4"/>
      <c r="B803" s="7"/>
      <c r="C803" s="7"/>
      <c r="D803" s="7"/>
      <c r="E803" s="7"/>
      <c r="F803" s="7"/>
      <c r="G803" s="7"/>
      <c r="H803" s="7"/>
      <c r="I803" s="7"/>
      <c r="J803" s="7"/>
      <c r="K803" s="7"/>
      <c r="L803" s="7"/>
      <c r="M803" s="7"/>
    </row>
    <row r="804" spans="1:13" x14ac:dyDescent="0.4">
      <c r="A804" s="4"/>
      <c r="B804" s="7"/>
      <c r="C804" s="7"/>
      <c r="D804" s="7"/>
      <c r="E804" s="7"/>
      <c r="F804" s="7"/>
      <c r="G804" s="7"/>
      <c r="H804" s="7"/>
      <c r="I804" s="7"/>
      <c r="J804" s="7"/>
      <c r="K804" s="7"/>
      <c r="L804" s="7"/>
      <c r="M804" s="7"/>
    </row>
    <row r="806" spans="1:13" x14ac:dyDescent="0.4">
      <c r="A806" s="3"/>
    </row>
    <row r="807" spans="1:13" x14ac:dyDescent="0.4">
      <c r="A807" s="3"/>
    </row>
    <row r="808" spans="1:13" x14ac:dyDescent="0.4">
      <c r="A808" s="3"/>
    </row>
    <row r="811" spans="1:13" x14ac:dyDescent="0.4">
      <c r="A811" s="2"/>
    </row>
    <row r="812" spans="1:13" x14ac:dyDescent="0.4">
      <c r="A812" s="3"/>
    </row>
    <row r="814" spans="1:13" x14ac:dyDescent="0.4">
      <c r="A814" s="4"/>
      <c r="B814" s="4"/>
    </row>
    <row r="815" spans="1:13" x14ac:dyDescent="0.4">
      <c r="A815" s="4"/>
      <c r="B815" s="4"/>
    </row>
    <row r="816" spans="1:13" x14ac:dyDescent="0.4">
      <c r="A816" s="4"/>
      <c r="B816" s="4"/>
    </row>
    <row r="818" spans="1:13" x14ac:dyDescent="0.4">
      <c r="A818" s="5"/>
      <c r="B818" s="6"/>
      <c r="C818" s="6"/>
      <c r="D818" s="6"/>
      <c r="E818" s="6"/>
      <c r="F818" s="6"/>
      <c r="G818" s="6"/>
      <c r="H818" s="6"/>
      <c r="I818" s="6"/>
      <c r="J818" s="6"/>
      <c r="K818" s="6"/>
      <c r="L818" s="6"/>
      <c r="M818" s="6"/>
    </row>
    <row r="819" spans="1:13" x14ac:dyDescent="0.4">
      <c r="A819" s="4"/>
      <c r="B819" s="7"/>
      <c r="C819" s="7"/>
      <c r="D819" s="7"/>
      <c r="E819" s="7"/>
      <c r="F819" s="7"/>
      <c r="G819" s="7"/>
      <c r="H819" s="7"/>
      <c r="I819" s="7"/>
      <c r="J819" s="7"/>
      <c r="K819" s="7"/>
      <c r="L819" s="7"/>
      <c r="M819" s="7"/>
    </row>
    <row r="820" spans="1:13" x14ac:dyDescent="0.4">
      <c r="A820" s="4"/>
      <c r="B820" s="7"/>
      <c r="C820" s="7"/>
      <c r="D820" s="7"/>
      <c r="E820" s="7"/>
      <c r="F820" s="7"/>
      <c r="G820" s="7"/>
      <c r="H820" s="7"/>
      <c r="I820" s="7"/>
      <c r="J820" s="7"/>
      <c r="K820" s="7"/>
      <c r="L820" s="7"/>
      <c r="M820" s="7"/>
    </row>
    <row r="821" spans="1:13" x14ac:dyDescent="0.4">
      <c r="A821" s="4"/>
      <c r="B821" s="7"/>
      <c r="C821" s="7"/>
      <c r="D821" s="7"/>
      <c r="E821" s="7"/>
      <c r="F821" s="7"/>
      <c r="G821" s="7"/>
      <c r="H821" s="7"/>
      <c r="I821" s="7"/>
      <c r="J821" s="7"/>
      <c r="K821" s="7"/>
      <c r="L821" s="7"/>
      <c r="M821" s="7"/>
    </row>
    <row r="822" spans="1:13" x14ac:dyDescent="0.4">
      <c r="A822" s="4"/>
      <c r="B822" s="7"/>
      <c r="C822" s="7"/>
      <c r="D822" s="7"/>
      <c r="E822" s="7"/>
      <c r="F822" s="7"/>
      <c r="G822" s="7"/>
      <c r="H822" s="7"/>
      <c r="I822" s="7"/>
      <c r="J822" s="7"/>
      <c r="K822" s="7"/>
      <c r="L822" s="7"/>
      <c r="M822" s="7"/>
    </row>
    <row r="823" spans="1:13" x14ac:dyDescent="0.4">
      <c r="A823" s="4"/>
      <c r="B823" s="7"/>
      <c r="C823" s="7"/>
      <c r="D823" s="7"/>
      <c r="E823" s="7"/>
      <c r="F823" s="7"/>
      <c r="G823" s="7"/>
      <c r="H823" s="7"/>
      <c r="I823" s="7"/>
      <c r="J823" s="7"/>
      <c r="K823" s="7"/>
      <c r="L823" s="7"/>
      <c r="M823" s="7"/>
    </row>
    <row r="824" spans="1:13" x14ac:dyDescent="0.4">
      <c r="A824" s="4"/>
      <c r="B824" s="7"/>
      <c r="C824" s="7"/>
      <c r="D824" s="7"/>
      <c r="E824" s="7"/>
      <c r="F824" s="7"/>
      <c r="G824" s="7"/>
      <c r="H824" s="7"/>
      <c r="I824" s="7"/>
      <c r="J824" s="7"/>
      <c r="K824" s="7"/>
      <c r="L824" s="7"/>
      <c r="M824" s="7"/>
    </row>
    <row r="825" spans="1:13" x14ac:dyDescent="0.4">
      <c r="A825" s="4"/>
      <c r="B825" s="7"/>
      <c r="C825" s="7"/>
      <c r="D825" s="7"/>
      <c r="E825" s="7"/>
      <c r="F825" s="7"/>
      <c r="G825" s="7"/>
      <c r="H825" s="7"/>
      <c r="I825" s="7"/>
      <c r="J825" s="7"/>
      <c r="K825" s="7"/>
      <c r="L825" s="7"/>
      <c r="M825" s="7"/>
    </row>
    <row r="826" spans="1:13" x14ac:dyDescent="0.4">
      <c r="A826" s="4"/>
      <c r="B826" s="7"/>
      <c r="C826" s="7"/>
      <c r="D826" s="7"/>
      <c r="E826" s="7"/>
      <c r="F826" s="7"/>
      <c r="G826" s="7"/>
      <c r="H826" s="7"/>
      <c r="I826" s="7"/>
      <c r="J826" s="7"/>
      <c r="K826" s="7"/>
      <c r="L826" s="7"/>
      <c r="M826" s="7"/>
    </row>
    <row r="827" spans="1:13" x14ac:dyDescent="0.4">
      <c r="A827" s="4"/>
      <c r="B827" s="7"/>
      <c r="C827" s="7"/>
      <c r="D827" s="7"/>
      <c r="E827" s="7"/>
      <c r="F827" s="7"/>
      <c r="G827" s="7"/>
      <c r="H827" s="7"/>
      <c r="I827" s="7"/>
      <c r="J827" s="7"/>
      <c r="K827" s="7"/>
      <c r="L827" s="7"/>
      <c r="M827" s="7"/>
    </row>
    <row r="828" spans="1:13" x14ac:dyDescent="0.4">
      <c r="A828" s="4"/>
      <c r="B828" s="7"/>
      <c r="C828" s="7"/>
      <c r="D828" s="7"/>
      <c r="E828" s="7"/>
      <c r="F828" s="7"/>
      <c r="G828" s="7"/>
      <c r="H828" s="7"/>
      <c r="I828" s="7"/>
      <c r="J828" s="7"/>
      <c r="K828" s="7"/>
      <c r="L828" s="7"/>
      <c r="M828" s="7"/>
    </row>
    <row r="829" spans="1:13" x14ac:dyDescent="0.4">
      <c r="A829" s="4"/>
      <c r="B829" s="7"/>
      <c r="C829" s="7"/>
      <c r="D829" s="7"/>
      <c r="E829" s="7"/>
      <c r="F829" s="7"/>
      <c r="G829" s="7"/>
      <c r="H829" s="7"/>
      <c r="I829" s="7"/>
      <c r="J829" s="7"/>
      <c r="K829" s="7"/>
      <c r="L829" s="7"/>
      <c r="M829" s="7"/>
    </row>
    <row r="830" spans="1:13" x14ac:dyDescent="0.4">
      <c r="A830" s="4"/>
      <c r="B830" s="7"/>
      <c r="C830" s="7"/>
      <c r="D830" s="7"/>
      <c r="E830" s="7"/>
      <c r="F830" s="7"/>
      <c r="G830" s="7"/>
      <c r="H830" s="7"/>
      <c r="I830" s="7"/>
      <c r="J830" s="7"/>
      <c r="K830" s="7"/>
      <c r="L830" s="7"/>
      <c r="M830" s="7"/>
    </row>
    <row r="831" spans="1:13" x14ac:dyDescent="0.4">
      <c r="A831" s="4"/>
      <c r="B831" s="7"/>
      <c r="C831" s="7"/>
      <c r="D831" s="7"/>
      <c r="E831" s="7"/>
      <c r="F831" s="7"/>
      <c r="G831" s="7"/>
      <c r="H831" s="7"/>
      <c r="I831" s="7"/>
      <c r="J831" s="7"/>
      <c r="K831" s="7"/>
      <c r="L831" s="7"/>
      <c r="M831" s="7"/>
    </row>
    <row r="832" spans="1:13" x14ac:dyDescent="0.4">
      <c r="A832" s="4"/>
      <c r="B832" s="7"/>
      <c r="C832" s="7"/>
      <c r="D832" s="7"/>
      <c r="E832" s="7"/>
      <c r="F832" s="7"/>
      <c r="G832" s="7"/>
      <c r="H832" s="7"/>
      <c r="I832" s="7"/>
      <c r="J832" s="7"/>
      <c r="K832" s="7"/>
      <c r="L832" s="7"/>
      <c r="M832" s="7"/>
    </row>
    <row r="833" spans="1:13" x14ac:dyDescent="0.4">
      <c r="A833" s="4"/>
      <c r="B833" s="7"/>
      <c r="C833" s="7"/>
      <c r="D833" s="7"/>
      <c r="E833" s="7"/>
      <c r="F833" s="7"/>
      <c r="G833" s="7"/>
      <c r="H833" s="7"/>
      <c r="I833" s="7"/>
      <c r="J833" s="7"/>
      <c r="K833" s="7"/>
      <c r="L833" s="7"/>
      <c r="M833" s="7"/>
    </row>
    <row r="834" spans="1:13" x14ac:dyDescent="0.4">
      <c r="A834" s="4"/>
      <c r="B834" s="7"/>
      <c r="C834" s="7"/>
      <c r="D834" s="7"/>
      <c r="E834" s="7"/>
      <c r="F834" s="7"/>
      <c r="G834" s="7"/>
      <c r="H834" s="7"/>
      <c r="I834" s="7"/>
      <c r="J834" s="7"/>
      <c r="K834" s="7"/>
      <c r="L834" s="7"/>
      <c r="M834" s="7"/>
    </row>
    <row r="836" spans="1:13" x14ac:dyDescent="0.4">
      <c r="A836" s="3"/>
    </row>
    <row r="837" spans="1:13" x14ac:dyDescent="0.4">
      <c r="A837" s="3"/>
    </row>
    <row r="838" spans="1:13" x14ac:dyDescent="0.4">
      <c r="A838" s="3"/>
    </row>
    <row r="841" spans="1:13" x14ac:dyDescent="0.4">
      <c r="A841" s="2"/>
    </row>
    <row r="842" spans="1:13" x14ac:dyDescent="0.4">
      <c r="A842" s="3"/>
    </row>
    <row r="844" spans="1:13" x14ac:dyDescent="0.4">
      <c r="A844" s="4"/>
      <c r="B844" s="4"/>
    </row>
    <row r="845" spans="1:13" x14ac:dyDescent="0.4">
      <c r="A845" s="4"/>
      <c r="B845" s="4"/>
    </row>
    <row r="846" spans="1:13" x14ac:dyDescent="0.4">
      <c r="A846" s="4"/>
      <c r="B846" s="4"/>
    </row>
    <row r="848" spans="1:13" x14ac:dyDescent="0.4">
      <c r="A848" s="5"/>
      <c r="B848" s="6"/>
      <c r="C848" s="6"/>
      <c r="D848" s="6"/>
      <c r="E848" s="6"/>
      <c r="F848" s="6"/>
      <c r="G848" s="6"/>
      <c r="H848" s="6"/>
      <c r="I848" s="6"/>
      <c r="J848" s="6"/>
      <c r="K848" s="6"/>
      <c r="L848" s="6"/>
      <c r="M848" s="6"/>
    </row>
    <row r="849" spans="1:13" x14ac:dyDescent="0.4">
      <c r="A849" s="4"/>
      <c r="B849" s="7"/>
      <c r="C849" s="7"/>
      <c r="D849" s="7"/>
      <c r="E849" s="7"/>
      <c r="F849" s="7"/>
      <c r="G849" s="7"/>
      <c r="H849" s="7"/>
      <c r="I849" s="7"/>
      <c r="J849" s="7"/>
      <c r="K849" s="7"/>
      <c r="L849" s="7"/>
      <c r="M849" s="7"/>
    </row>
    <row r="850" spans="1:13" x14ac:dyDescent="0.4">
      <c r="A850" s="4"/>
      <c r="B850" s="7"/>
      <c r="C850" s="7"/>
      <c r="D850" s="7"/>
      <c r="E850" s="7"/>
      <c r="F850" s="7"/>
      <c r="G850" s="7"/>
      <c r="H850" s="7"/>
      <c r="I850" s="7"/>
      <c r="J850" s="7"/>
      <c r="K850" s="7"/>
      <c r="L850" s="7"/>
      <c r="M850" s="7"/>
    </row>
    <row r="851" spans="1:13" x14ac:dyDescent="0.4">
      <c r="A851" s="4"/>
      <c r="B851" s="7"/>
      <c r="C851" s="7"/>
      <c r="D851" s="7"/>
      <c r="E851" s="7"/>
      <c r="F851" s="7"/>
      <c r="G851" s="7"/>
      <c r="H851" s="7"/>
      <c r="I851" s="7"/>
      <c r="J851" s="7"/>
      <c r="K851" s="7"/>
      <c r="L851" s="7"/>
      <c r="M851" s="7"/>
    </row>
    <row r="852" spans="1:13" x14ac:dyDescent="0.4">
      <c r="A852" s="4"/>
      <c r="B852" s="7"/>
      <c r="C852" s="7"/>
      <c r="D852" s="7"/>
      <c r="E852" s="7"/>
      <c r="F852" s="7"/>
      <c r="G852" s="7"/>
      <c r="H852" s="7"/>
      <c r="I852" s="7"/>
      <c r="J852" s="7"/>
      <c r="K852" s="7"/>
      <c r="L852" s="7"/>
      <c r="M852" s="7"/>
    </row>
    <row r="853" spans="1:13" x14ac:dyDescent="0.4">
      <c r="A853" s="4"/>
      <c r="B853" s="7"/>
      <c r="C853" s="7"/>
      <c r="D853" s="7"/>
      <c r="E853" s="7"/>
      <c r="F853" s="7"/>
      <c r="G853" s="7"/>
      <c r="H853" s="7"/>
      <c r="I853" s="7"/>
      <c r="J853" s="7"/>
      <c r="K853" s="7"/>
      <c r="L853" s="7"/>
      <c r="M853" s="7"/>
    </row>
    <row r="854" spans="1:13" x14ac:dyDescent="0.4">
      <c r="A854" s="4"/>
      <c r="B854" s="7"/>
      <c r="C854" s="7"/>
      <c r="D854" s="7"/>
      <c r="E854" s="7"/>
      <c r="F854" s="7"/>
      <c r="G854" s="7"/>
      <c r="H854" s="7"/>
      <c r="I854" s="7"/>
      <c r="J854" s="7"/>
      <c r="K854" s="7"/>
      <c r="L854" s="7"/>
      <c r="M854" s="7"/>
    </row>
    <row r="855" spans="1:13" x14ac:dyDescent="0.4">
      <c r="A855" s="4"/>
      <c r="B855" s="7"/>
      <c r="C855" s="7"/>
      <c r="D855" s="7"/>
      <c r="E855" s="7"/>
      <c r="F855" s="7"/>
      <c r="G855" s="7"/>
      <c r="H855" s="7"/>
      <c r="I855" s="7"/>
      <c r="J855" s="7"/>
      <c r="K855" s="7"/>
      <c r="L855" s="7"/>
      <c r="M855" s="7"/>
    </row>
    <row r="856" spans="1:13" x14ac:dyDescent="0.4">
      <c r="A856" s="4"/>
      <c r="B856" s="7"/>
      <c r="C856" s="7"/>
      <c r="D856" s="7"/>
      <c r="E856" s="7"/>
      <c r="F856" s="7"/>
      <c r="G856" s="7"/>
      <c r="H856" s="7"/>
      <c r="I856" s="7"/>
      <c r="J856" s="7"/>
      <c r="K856" s="7"/>
      <c r="L856" s="7"/>
      <c r="M856" s="7"/>
    </row>
    <row r="857" spans="1:13" x14ac:dyDescent="0.4">
      <c r="A857" s="4"/>
      <c r="B857" s="7"/>
      <c r="C857" s="7"/>
      <c r="D857" s="7"/>
      <c r="E857" s="7"/>
      <c r="F857" s="7"/>
      <c r="G857" s="7"/>
      <c r="H857" s="7"/>
      <c r="I857" s="7"/>
      <c r="J857" s="7"/>
      <c r="K857" s="7"/>
      <c r="L857" s="7"/>
      <c r="M857" s="7"/>
    </row>
    <row r="858" spans="1:13" x14ac:dyDescent="0.4">
      <c r="A858" s="4"/>
      <c r="B858" s="7"/>
      <c r="C858" s="7"/>
      <c r="D858" s="7"/>
      <c r="E858" s="7"/>
      <c r="F858" s="7"/>
      <c r="G858" s="7"/>
      <c r="H858" s="7"/>
      <c r="I858" s="7"/>
      <c r="J858" s="7"/>
      <c r="K858" s="7"/>
      <c r="L858" s="7"/>
      <c r="M858" s="7"/>
    </row>
    <row r="859" spans="1:13" x14ac:dyDescent="0.4">
      <c r="A859" s="4"/>
      <c r="B859" s="7"/>
      <c r="C859" s="7"/>
      <c r="D859" s="7"/>
      <c r="E859" s="7"/>
      <c r="F859" s="7"/>
      <c r="G859" s="7"/>
      <c r="H859" s="7"/>
      <c r="I859" s="7"/>
      <c r="J859" s="7"/>
      <c r="K859" s="7"/>
      <c r="L859" s="7"/>
      <c r="M859" s="7"/>
    </row>
    <row r="860" spans="1:13" x14ac:dyDescent="0.4">
      <c r="A860" s="4"/>
      <c r="B860" s="7"/>
      <c r="C860" s="7"/>
      <c r="D860" s="7"/>
      <c r="E860" s="7"/>
      <c r="F860" s="7"/>
      <c r="G860" s="7"/>
      <c r="H860" s="7"/>
      <c r="I860" s="7"/>
      <c r="J860" s="7"/>
      <c r="K860" s="7"/>
      <c r="L860" s="7"/>
      <c r="M860" s="7"/>
    </row>
    <row r="861" spans="1:13" x14ac:dyDescent="0.4">
      <c r="A861" s="4"/>
      <c r="B861" s="7"/>
      <c r="C861" s="7"/>
      <c r="D861" s="7"/>
      <c r="E861" s="7"/>
      <c r="F861" s="7"/>
      <c r="G861" s="7"/>
      <c r="H861" s="7"/>
      <c r="I861" s="7"/>
      <c r="J861" s="7"/>
      <c r="K861" s="7"/>
      <c r="L861" s="7"/>
      <c r="M861" s="7"/>
    </row>
    <row r="862" spans="1:13" x14ac:dyDescent="0.4">
      <c r="A862" s="4"/>
      <c r="B862" s="7"/>
      <c r="C862" s="7"/>
      <c r="D862" s="7"/>
      <c r="E862" s="7"/>
      <c r="F862" s="7"/>
      <c r="G862" s="7"/>
      <c r="H862" s="7"/>
      <c r="I862" s="7"/>
      <c r="J862" s="7"/>
      <c r="K862" s="7"/>
      <c r="L862" s="7"/>
      <c r="M862" s="7"/>
    </row>
    <row r="863" spans="1:13" x14ac:dyDescent="0.4">
      <c r="A863" s="4"/>
      <c r="B863" s="7"/>
      <c r="C863" s="7"/>
      <c r="D863" s="7"/>
      <c r="E863" s="7"/>
      <c r="F863" s="7"/>
      <c r="G863" s="7"/>
      <c r="H863" s="7"/>
      <c r="I863" s="7"/>
      <c r="J863" s="7"/>
      <c r="K863" s="7"/>
      <c r="L863" s="7"/>
      <c r="M863" s="7"/>
    </row>
    <row r="864" spans="1:13" x14ac:dyDescent="0.4">
      <c r="A864" s="4"/>
      <c r="B864" s="7"/>
      <c r="C864" s="7"/>
      <c r="D864" s="7"/>
      <c r="E864" s="7"/>
      <c r="F864" s="7"/>
      <c r="G864" s="7"/>
      <c r="H864" s="7"/>
      <c r="I864" s="7"/>
      <c r="J864" s="7"/>
      <c r="K864" s="7"/>
      <c r="L864" s="7"/>
      <c r="M864" s="7"/>
    </row>
    <row r="866" spans="1:13" x14ac:dyDescent="0.4">
      <c r="A866" s="3"/>
    </row>
    <row r="867" spans="1:13" x14ac:dyDescent="0.4">
      <c r="A867" s="3"/>
    </row>
    <row r="868" spans="1:13" x14ac:dyDescent="0.4">
      <c r="A868" s="3"/>
    </row>
    <row r="871" spans="1:13" x14ac:dyDescent="0.4">
      <c r="A871" s="2"/>
    </row>
    <row r="872" spans="1:13" x14ac:dyDescent="0.4">
      <c r="A872" s="3"/>
    </row>
    <row r="874" spans="1:13" x14ac:dyDescent="0.4">
      <c r="A874" s="4"/>
      <c r="B874" s="4"/>
    </row>
    <row r="875" spans="1:13" x14ac:dyDescent="0.4">
      <c r="A875" s="4"/>
      <c r="B875" s="4"/>
    </row>
    <row r="876" spans="1:13" x14ac:dyDescent="0.4">
      <c r="A876" s="4"/>
      <c r="B876" s="4"/>
    </row>
    <row r="878" spans="1:13" x14ac:dyDescent="0.4">
      <c r="A878" s="5"/>
      <c r="B878" s="6"/>
      <c r="C878" s="6"/>
      <c r="D878" s="6"/>
      <c r="E878" s="6"/>
      <c r="F878" s="6"/>
      <c r="G878" s="6"/>
      <c r="H878" s="6"/>
      <c r="I878" s="6"/>
      <c r="J878" s="6"/>
      <c r="K878" s="6"/>
      <c r="L878" s="6"/>
      <c r="M878" s="6"/>
    </row>
    <row r="879" spans="1:13" x14ac:dyDescent="0.4">
      <c r="A879" s="4"/>
      <c r="B879" s="7"/>
      <c r="C879" s="7"/>
      <c r="D879" s="7"/>
      <c r="E879" s="7"/>
      <c r="F879" s="7"/>
      <c r="G879" s="7"/>
      <c r="H879" s="7"/>
      <c r="I879" s="7"/>
      <c r="J879" s="7"/>
      <c r="K879" s="7"/>
      <c r="L879" s="7"/>
      <c r="M879" s="7"/>
    </row>
    <row r="880" spans="1:13" x14ac:dyDescent="0.4">
      <c r="A880" s="4"/>
      <c r="B880" s="7"/>
      <c r="C880" s="7"/>
      <c r="D880" s="7"/>
      <c r="E880" s="7"/>
      <c r="F880" s="7"/>
      <c r="G880" s="7"/>
      <c r="H880" s="7"/>
      <c r="I880" s="7"/>
      <c r="J880" s="7"/>
      <c r="K880" s="7"/>
      <c r="L880" s="7"/>
      <c r="M880" s="7"/>
    </row>
    <row r="881" spans="1:13" x14ac:dyDescent="0.4">
      <c r="A881" s="4"/>
      <c r="B881" s="7"/>
      <c r="C881" s="7"/>
      <c r="D881" s="7"/>
      <c r="E881" s="7"/>
      <c r="F881" s="7"/>
      <c r="G881" s="7"/>
      <c r="H881" s="7"/>
      <c r="I881" s="7"/>
      <c r="J881" s="7"/>
      <c r="K881" s="7"/>
      <c r="L881" s="7"/>
      <c r="M881" s="7"/>
    </row>
    <row r="882" spans="1:13" x14ac:dyDescent="0.4">
      <c r="A882" s="4"/>
      <c r="B882" s="7"/>
      <c r="C882" s="7"/>
      <c r="D882" s="7"/>
      <c r="E882" s="7"/>
      <c r="F882" s="7"/>
      <c r="G882" s="7"/>
      <c r="H882" s="7"/>
      <c r="I882" s="7"/>
      <c r="J882" s="7"/>
      <c r="K882" s="7"/>
      <c r="L882" s="7"/>
      <c r="M882" s="7"/>
    </row>
    <row r="883" spans="1:13" x14ac:dyDescent="0.4">
      <c r="A883" s="4"/>
      <c r="B883" s="7"/>
      <c r="C883" s="7"/>
      <c r="D883" s="7"/>
      <c r="E883" s="7"/>
      <c r="F883" s="7"/>
      <c r="G883" s="7"/>
      <c r="H883" s="7"/>
      <c r="I883" s="7"/>
      <c r="J883" s="7"/>
      <c r="K883" s="7"/>
      <c r="L883" s="7"/>
      <c r="M883" s="7"/>
    </row>
    <row r="884" spans="1:13" x14ac:dyDescent="0.4">
      <c r="A884" s="4"/>
      <c r="B884" s="7"/>
      <c r="C884" s="7"/>
      <c r="D884" s="7"/>
      <c r="E884" s="7"/>
      <c r="F884" s="7"/>
      <c r="G884" s="7"/>
      <c r="H884" s="7"/>
      <c r="I884" s="7"/>
      <c r="J884" s="7"/>
      <c r="K884" s="7"/>
      <c r="L884" s="7"/>
      <c r="M884" s="7"/>
    </row>
    <row r="885" spans="1:13" x14ac:dyDescent="0.4">
      <c r="A885" s="4"/>
      <c r="B885" s="7"/>
      <c r="C885" s="7"/>
      <c r="D885" s="7"/>
      <c r="E885" s="7"/>
      <c r="F885" s="7"/>
      <c r="G885" s="7"/>
      <c r="H885" s="7"/>
      <c r="I885" s="7"/>
      <c r="J885" s="7"/>
      <c r="K885" s="7"/>
      <c r="L885" s="7"/>
      <c r="M885" s="7"/>
    </row>
    <row r="886" spans="1:13" x14ac:dyDescent="0.4">
      <c r="A886" s="4"/>
      <c r="B886" s="7"/>
      <c r="C886" s="7"/>
      <c r="D886" s="7"/>
      <c r="E886" s="7"/>
      <c r="F886" s="7"/>
      <c r="G886" s="7"/>
      <c r="H886" s="7"/>
      <c r="I886" s="7"/>
      <c r="J886" s="7"/>
      <c r="K886" s="7"/>
      <c r="L886" s="7"/>
      <c r="M886" s="7"/>
    </row>
    <row r="887" spans="1:13" x14ac:dyDescent="0.4">
      <c r="A887" s="4"/>
      <c r="B887" s="7"/>
      <c r="C887" s="7"/>
      <c r="D887" s="7"/>
      <c r="E887" s="7"/>
      <c r="F887" s="7"/>
      <c r="G887" s="7"/>
      <c r="H887" s="7"/>
      <c r="I887" s="7"/>
      <c r="J887" s="7"/>
      <c r="K887" s="7"/>
      <c r="L887" s="7"/>
      <c r="M887" s="7"/>
    </row>
    <row r="888" spans="1:13" x14ac:dyDescent="0.4">
      <c r="A888" s="4"/>
      <c r="B888" s="7"/>
      <c r="C888" s="7"/>
      <c r="D888" s="7"/>
      <c r="E888" s="7"/>
      <c r="F888" s="7"/>
      <c r="G888" s="7"/>
      <c r="H888" s="7"/>
      <c r="I888" s="7"/>
      <c r="J888" s="7"/>
      <c r="K888" s="7"/>
      <c r="L888" s="7"/>
      <c r="M888" s="7"/>
    </row>
    <row r="889" spans="1:13" x14ac:dyDescent="0.4">
      <c r="A889" s="4"/>
      <c r="B889" s="7"/>
      <c r="C889" s="7"/>
      <c r="D889" s="7"/>
      <c r="E889" s="7"/>
      <c r="F889" s="7"/>
      <c r="G889" s="7"/>
      <c r="H889" s="7"/>
      <c r="I889" s="7"/>
      <c r="J889" s="7"/>
      <c r="K889" s="7"/>
      <c r="L889" s="7"/>
      <c r="M889" s="7"/>
    </row>
    <row r="890" spans="1:13" x14ac:dyDescent="0.4">
      <c r="A890" s="4"/>
      <c r="B890" s="7"/>
      <c r="C890" s="7"/>
      <c r="D890" s="7"/>
      <c r="E890" s="7"/>
      <c r="F890" s="7"/>
      <c r="G890" s="7"/>
      <c r="H890" s="7"/>
      <c r="I890" s="7"/>
      <c r="J890" s="7"/>
      <c r="K890" s="7"/>
      <c r="L890" s="7"/>
      <c r="M890" s="7"/>
    </row>
    <row r="891" spans="1:13" x14ac:dyDescent="0.4">
      <c r="A891" s="4"/>
      <c r="B891" s="7"/>
      <c r="C891" s="7"/>
      <c r="D891" s="7"/>
      <c r="E891" s="7"/>
      <c r="F891" s="7"/>
      <c r="G891" s="7"/>
      <c r="H891" s="7"/>
      <c r="I891" s="7"/>
      <c r="J891" s="7"/>
      <c r="K891" s="7"/>
      <c r="L891" s="7"/>
      <c r="M891" s="7"/>
    </row>
    <row r="892" spans="1:13" x14ac:dyDescent="0.4">
      <c r="A892" s="4"/>
      <c r="B892" s="7"/>
      <c r="C892" s="7"/>
      <c r="D892" s="7"/>
      <c r="E892" s="7"/>
      <c r="F892" s="7"/>
      <c r="G892" s="7"/>
      <c r="H892" s="7"/>
      <c r="I892" s="7"/>
      <c r="J892" s="7"/>
      <c r="K892" s="7"/>
      <c r="L892" s="7"/>
      <c r="M892" s="7"/>
    </row>
    <row r="893" spans="1:13" x14ac:dyDescent="0.4">
      <c r="A893" s="4"/>
      <c r="B893" s="7"/>
      <c r="C893" s="7"/>
      <c r="D893" s="7"/>
      <c r="E893" s="7"/>
      <c r="F893" s="7"/>
      <c r="G893" s="7"/>
      <c r="H893" s="7"/>
      <c r="I893" s="7"/>
      <c r="J893" s="7"/>
      <c r="K893" s="7"/>
      <c r="L893" s="7"/>
      <c r="M893" s="7"/>
    </row>
    <row r="894" spans="1:13" x14ac:dyDescent="0.4">
      <c r="A894" s="4"/>
      <c r="B894" s="7"/>
      <c r="C894" s="7"/>
      <c r="D894" s="7"/>
      <c r="E894" s="7"/>
      <c r="F894" s="7"/>
      <c r="G894" s="7"/>
      <c r="H894" s="7"/>
      <c r="I894" s="7"/>
      <c r="J894" s="7"/>
      <c r="K894" s="7"/>
      <c r="L894" s="7"/>
      <c r="M894" s="7"/>
    </row>
    <row r="896" spans="1:13" x14ac:dyDescent="0.4">
      <c r="A896" s="3"/>
    </row>
    <row r="897" spans="1:13" x14ac:dyDescent="0.4">
      <c r="A897" s="3"/>
    </row>
    <row r="898" spans="1:13" x14ac:dyDescent="0.4">
      <c r="A898" s="3"/>
    </row>
    <row r="901" spans="1:13" x14ac:dyDescent="0.4">
      <c r="A901" s="2"/>
    </row>
    <row r="902" spans="1:13" x14ac:dyDescent="0.4">
      <c r="A902" s="3"/>
    </row>
    <row r="904" spans="1:13" x14ac:dyDescent="0.4">
      <c r="A904" s="4"/>
      <c r="B904" s="4"/>
    </row>
    <row r="905" spans="1:13" x14ac:dyDescent="0.4">
      <c r="A905" s="4"/>
      <c r="B905" s="4"/>
    </row>
    <row r="906" spans="1:13" x14ac:dyDescent="0.4">
      <c r="A906" s="4"/>
      <c r="B906" s="4"/>
    </row>
    <row r="908" spans="1:13" x14ac:dyDescent="0.4">
      <c r="A908" s="5"/>
      <c r="B908" s="6"/>
      <c r="C908" s="6"/>
      <c r="D908" s="6"/>
      <c r="E908" s="6"/>
      <c r="F908" s="6"/>
      <c r="G908" s="6"/>
      <c r="H908" s="6"/>
      <c r="I908" s="6"/>
      <c r="J908" s="6"/>
      <c r="K908" s="6"/>
      <c r="L908" s="6"/>
      <c r="M908" s="6"/>
    </row>
    <row r="909" spans="1:13" x14ac:dyDescent="0.4">
      <c r="A909" s="4"/>
      <c r="B909" s="7"/>
      <c r="C909" s="7"/>
      <c r="D909" s="7"/>
      <c r="E909" s="7"/>
      <c r="F909" s="7"/>
      <c r="G909" s="7"/>
      <c r="H909" s="7"/>
      <c r="I909" s="7"/>
      <c r="J909" s="7"/>
      <c r="K909" s="7"/>
      <c r="L909" s="7"/>
      <c r="M909" s="7"/>
    </row>
    <row r="910" spans="1:13" x14ac:dyDescent="0.4">
      <c r="A910" s="4"/>
      <c r="B910" s="7"/>
      <c r="C910" s="7"/>
      <c r="D910" s="7"/>
      <c r="E910" s="7"/>
      <c r="F910" s="7"/>
      <c r="G910" s="7"/>
      <c r="H910" s="7"/>
      <c r="I910" s="7"/>
      <c r="J910" s="7"/>
      <c r="K910" s="7"/>
      <c r="L910" s="7"/>
      <c r="M910" s="7"/>
    </row>
    <row r="911" spans="1:13" x14ac:dyDescent="0.4">
      <c r="A911" s="4"/>
      <c r="B911" s="7"/>
      <c r="C911" s="7"/>
      <c r="D911" s="7"/>
      <c r="E911" s="7"/>
      <c r="F911" s="7"/>
      <c r="G911" s="7"/>
      <c r="H911" s="7"/>
      <c r="I911" s="7"/>
      <c r="J911" s="7"/>
      <c r="K911" s="7"/>
      <c r="L911" s="7"/>
      <c r="M911" s="7"/>
    </row>
    <row r="912" spans="1:13" x14ac:dyDescent="0.4">
      <c r="A912" s="4"/>
      <c r="B912" s="7"/>
      <c r="C912" s="7"/>
      <c r="D912" s="7"/>
      <c r="E912" s="7"/>
      <c r="F912" s="7"/>
      <c r="G912" s="7"/>
      <c r="H912" s="7"/>
      <c r="I912" s="7"/>
      <c r="J912" s="7"/>
      <c r="K912" s="7"/>
      <c r="L912" s="7"/>
      <c r="M912" s="7"/>
    </row>
    <row r="913" spans="1:13" x14ac:dyDescent="0.4">
      <c r="A913" s="4"/>
      <c r="B913" s="7"/>
      <c r="C913" s="7"/>
      <c r="D913" s="7"/>
      <c r="E913" s="7"/>
      <c r="F913" s="7"/>
      <c r="G913" s="7"/>
      <c r="H913" s="7"/>
      <c r="I913" s="7"/>
      <c r="J913" s="7"/>
      <c r="K913" s="7"/>
      <c r="L913" s="7"/>
      <c r="M913" s="7"/>
    </row>
    <row r="914" spans="1:13" x14ac:dyDescent="0.4">
      <c r="A914" s="4"/>
      <c r="B914" s="7"/>
      <c r="C914" s="7"/>
      <c r="D914" s="7"/>
      <c r="E914" s="7"/>
      <c r="F914" s="7"/>
      <c r="G914" s="7"/>
      <c r="H914" s="7"/>
      <c r="I914" s="7"/>
      <c r="J914" s="7"/>
      <c r="K914" s="7"/>
      <c r="L914" s="7"/>
      <c r="M914" s="7"/>
    </row>
    <row r="915" spans="1:13" x14ac:dyDescent="0.4">
      <c r="A915" s="4"/>
      <c r="B915" s="7"/>
      <c r="C915" s="7"/>
      <c r="D915" s="7"/>
      <c r="E915" s="7"/>
      <c r="F915" s="7"/>
      <c r="G915" s="7"/>
      <c r="H915" s="7"/>
      <c r="I915" s="7"/>
      <c r="J915" s="7"/>
      <c r="K915" s="7"/>
      <c r="L915" s="7"/>
      <c r="M915" s="7"/>
    </row>
    <row r="916" spans="1:13" x14ac:dyDescent="0.4">
      <c r="A916" s="4"/>
      <c r="B916" s="7"/>
      <c r="C916" s="7"/>
      <c r="D916" s="7"/>
      <c r="E916" s="7"/>
      <c r="F916" s="7"/>
      <c r="G916" s="7"/>
      <c r="H916" s="7"/>
      <c r="I916" s="7"/>
      <c r="J916" s="7"/>
      <c r="K916" s="7"/>
      <c r="L916" s="7"/>
      <c r="M916" s="7"/>
    </row>
    <row r="917" spans="1:13" x14ac:dyDescent="0.4">
      <c r="A917" s="4"/>
      <c r="B917" s="7"/>
      <c r="C917" s="7"/>
      <c r="D917" s="7"/>
      <c r="E917" s="7"/>
      <c r="F917" s="7"/>
      <c r="G917" s="7"/>
      <c r="H917" s="7"/>
      <c r="I917" s="7"/>
      <c r="J917" s="7"/>
      <c r="K917" s="7"/>
      <c r="L917" s="7"/>
      <c r="M917" s="7"/>
    </row>
    <row r="918" spans="1:13" x14ac:dyDescent="0.4">
      <c r="A918" s="4"/>
      <c r="B918" s="7"/>
      <c r="C918" s="7"/>
      <c r="D918" s="7"/>
      <c r="E918" s="7"/>
      <c r="F918" s="7"/>
      <c r="G918" s="7"/>
      <c r="H918" s="7"/>
      <c r="I918" s="7"/>
      <c r="J918" s="7"/>
      <c r="K918" s="7"/>
      <c r="L918" s="7"/>
      <c r="M918" s="7"/>
    </row>
    <row r="919" spans="1:13" x14ac:dyDescent="0.4">
      <c r="A919" s="4"/>
      <c r="B919" s="7"/>
      <c r="C919" s="7"/>
      <c r="D919" s="7"/>
      <c r="E919" s="7"/>
      <c r="F919" s="7"/>
      <c r="G919" s="7"/>
      <c r="H919" s="7"/>
      <c r="I919" s="7"/>
      <c r="J919" s="7"/>
      <c r="K919" s="7"/>
      <c r="L919" s="7"/>
      <c r="M919" s="7"/>
    </row>
    <row r="920" spans="1:13" x14ac:dyDescent="0.4">
      <c r="A920" s="4"/>
      <c r="B920" s="7"/>
      <c r="C920" s="7"/>
      <c r="D920" s="7"/>
      <c r="E920" s="7"/>
      <c r="F920" s="7"/>
      <c r="G920" s="7"/>
      <c r="H920" s="7"/>
      <c r="I920" s="7"/>
      <c r="J920" s="7"/>
      <c r="K920" s="7"/>
      <c r="L920" s="7"/>
      <c r="M920" s="7"/>
    </row>
    <row r="921" spans="1:13" x14ac:dyDescent="0.4">
      <c r="A921" s="4"/>
      <c r="B921" s="7"/>
      <c r="C921" s="7"/>
      <c r="D921" s="7"/>
      <c r="E921" s="7"/>
      <c r="F921" s="7"/>
      <c r="G921" s="7"/>
      <c r="H921" s="7"/>
      <c r="I921" s="7"/>
      <c r="J921" s="7"/>
      <c r="K921" s="7"/>
      <c r="L921" s="7"/>
      <c r="M921" s="7"/>
    </row>
    <row r="922" spans="1:13" x14ac:dyDescent="0.4">
      <c r="A922" s="4"/>
      <c r="B922" s="7"/>
      <c r="C922" s="7"/>
      <c r="D922" s="7"/>
      <c r="E922" s="7"/>
      <c r="F922" s="7"/>
      <c r="G922" s="7"/>
      <c r="H922" s="7"/>
      <c r="I922" s="7"/>
      <c r="J922" s="7"/>
      <c r="K922" s="7"/>
      <c r="L922" s="7"/>
      <c r="M922" s="7"/>
    </row>
    <row r="923" spans="1:13" x14ac:dyDescent="0.4">
      <c r="A923" s="4"/>
      <c r="B923" s="7"/>
      <c r="C923" s="7"/>
      <c r="D923" s="7"/>
      <c r="E923" s="7"/>
      <c r="F923" s="7"/>
      <c r="G923" s="7"/>
      <c r="H923" s="7"/>
      <c r="I923" s="7"/>
      <c r="J923" s="7"/>
      <c r="K923" s="7"/>
      <c r="L923" s="7"/>
      <c r="M923" s="7"/>
    </row>
    <row r="924" spans="1:13" x14ac:dyDescent="0.4">
      <c r="A924" s="4"/>
      <c r="B924" s="7"/>
      <c r="C924" s="7"/>
      <c r="D924" s="7"/>
      <c r="E924" s="7"/>
      <c r="F924" s="7"/>
      <c r="G924" s="7"/>
      <c r="H924" s="7"/>
      <c r="I924" s="7"/>
      <c r="J924" s="7"/>
      <c r="K924" s="7"/>
      <c r="L924" s="7"/>
      <c r="M924" s="7"/>
    </row>
    <row r="926" spans="1:13" x14ac:dyDescent="0.4">
      <c r="A926" s="3"/>
    </row>
    <row r="927" spans="1:13" x14ac:dyDescent="0.4">
      <c r="A927" s="3"/>
    </row>
    <row r="928" spans="1:13" x14ac:dyDescent="0.4">
      <c r="A928" s="3"/>
    </row>
    <row r="931" spans="1:13" x14ac:dyDescent="0.4">
      <c r="A931" s="2"/>
    </row>
    <row r="932" spans="1:13" x14ac:dyDescent="0.4">
      <c r="A932" s="3"/>
    </row>
    <row r="934" spans="1:13" x14ac:dyDescent="0.4">
      <c r="A934" s="4"/>
      <c r="B934" s="4"/>
    </row>
    <row r="935" spans="1:13" x14ac:dyDescent="0.4">
      <c r="A935" s="4"/>
      <c r="B935" s="4"/>
    </row>
    <row r="936" spans="1:13" x14ac:dyDescent="0.4">
      <c r="A936" s="4"/>
      <c r="B936" s="4"/>
    </row>
    <row r="938" spans="1:13" x14ac:dyDescent="0.4">
      <c r="A938" s="5"/>
      <c r="B938" s="6"/>
      <c r="C938" s="6"/>
      <c r="D938" s="6"/>
      <c r="E938" s="6"/>
      <c r="F938" s="6"/>
      <c r="G938" s="6"/>
      <c r="H938" s="6"/>
      <c r="I938" s="6"/>
      <c r="J938" s="6"/>
      <c r="K938" s="6"/>
      <c r="L938" s="6"/>
      <c r="M938" s="6"/>
    </row>
    <row r="939" spans="1:13" x14ac:dyDescent="0.4">
      <c r="A939" s="4"/>
      <c r="B939" s="7"/>
      <c r="C939" s="7"/>
      <c r="D939" s="7"/>
      <c r="E939" s="7"/>
      <c r="F939" s="7"/>
      <c r="G939" s="7"/>
      <c r="H939" s="7"/>
      <c r="I939" s="7"/>
      <c r="J939" s="7"/>
      <c r="K939" s="7"/>
      <c r="L939" s="7"/>
      <c r="M939" s="7"/>
    </row>
    <row r="940" spans="1:13" x14ac:dyDescent="0.4">
      <c r="A940" s="4"/>
      <c r="B940" s="7"/>
      <c r="C940" s="7"/>
      <c r="D940" s="7"/>
      <c r="E940" s="7"/>
      <c r="F940" s="7"/>
      <c r="G940" s="7"/>
      <c r="H940" s="7"/>
      <c r="I940" s="7"/>
      <c r="J940" s="7"/>
      <c r="K940" s="7"/>
      <c r="L940" s="7"/>
      <c r="M940" s="7"/>
    </row>
    <row r="941" spans="1:13" x14ac:dyDescent="0.4">
      <c r="A941" s="4"/>
      <c r="B941" s="7"/>
      <c r="C941" s="7"/>
      <c r="D941" s="7"/>
      <c r="E941" s="7"/>
      <c r="F941" s="7"/>
      <c r="G941" s="7"/>
      <c r="H941" s="7"/>
      <c r="I941" s="7"/>
      <c r="J941" s="7"/>
      <c r="K941" s="7"/>
      <c r="L941" s="7"/>
      <c r="M941" s="7"/>
    </row>
    <row r="942" spans="1:13" x14ac:dyDescent="0.4">
      <c r="A942" s="4"/>
      <c r="B942" s="7"/>
      <c r="C942" s="7"/>
      <c r="D942" s="7"/>
      <c r="E942" s="7"/>
      <c r="F942" s="7"/>
      <c r="G942" s="7"/>
      <c r="H942" s="7"/>
      <c r="I942" s="7"/>
      <c r="J942" s="7"/>
      <c r="K942" s="7"/>
      <c r="L942" s="7"/>
      <c r="M942" s="7"/>
    </row>
    <row r="943" spans="1:13" x14ac:dyDescent="0.4">
      <c r="A943" s="4"/>
      <c r="B943" s="7"/>
      <c r="C943" s="7"/>
      <c r="D943" s="7"/>
      <c r="E943" s="7"/>
      <c r="F943" s="7"/>
      <c r="G943" s="7"/>
      <c r="H943" s="7"/>
      <c r="I943" s="7"/>
      <c r="J943" s="7"/>
      <c r="K943" s="7"/>
      <c r="L943" s="7"/>
      <c r="M943" s="7"/>
    </row>
    <row r="944" spans="1:13" x14ac:dyDescent="0.4">
      <c r="A944" s="4"/>
      <c r="B944" s="7"/>
      <c r="C944" s="7"/>
      <c r="D944" s="7"/>
      <c r="E944" s="7"/>
      <c r="F944" s="7"/>
      <c r="G944" s="7"/>
      <c r="H944" s="7"/>
      <c r="I944" s="7"/>
      <c r="J944" s="7"/>
      <c r="K944" s="7"/>
      <c r="L944" s="7"/>
      <c r="M944" s="7"/>
    </row>
    <row r="945" spans="1:13" x14ac:dyDescent="0.4">
      <c r="A945" s="4"/>
      <c r="B945" s="7"/>
      <c r="C945" s="7"/>
      <c r="D945" s="7"/>
      <c r="E945" s="7"/>
      <c r="F945" s="7"/>
      <c r="G945" s="7"/>
      <c r="H945" s="7"/>
      <c r="I945" s="7"/>
      <c r="J945" s="7"/>
      <c r="K945" s="7"/>
      <c r="L945" s="7"/>
      <c r="M945" s="7"/>
    </row>
    <row r="946" spans="1:13" x14ac:dyDescent="0.4">
      <c r="A946" s="4"/>
      <c r="B946" s="7"/>
      <c r="C946" s="7"/>
      <c r="D946" s="7"/>
      <c r="E946" s="7"/>
      <c r="F946" s="7"/>
      <c r="G946" s="7"/>
      <c r="H946" s="7"/>
      <c r="I946" s="7"/>
      <c r="J946" s="7"/>
      <c r="K946" s="7"/>
      <c r="L946" s="7"/>
      <c r="M946" s="7"/>
    </row>
    <row r="947" spans="1:13" x14ac:dyDescent="0.4">
      <c r="A947" s="4"/>
      <c r="B947" s="7"/>
      <c r="C947" s="7"/>
      <c r="D947" s="7"/>
      <c r="E947" s="7"/>
      <c r="F947" s="7"/>
      <c r="G947" s="7"/>
      <c r="H947" s="7"/>
      <c r="I947" s="7"/>
      <c r="J947" s="7"/>
      <c r="K947" s="7"/>
      <c r="L947" s="7"/>
      <c r="M947" s="7"/>
    </row>
    <row r="948" spans="1:13" x14ac:dyDescent="0.4">
      <c r="A948" s="4"/>
      <c r="B948" s="7"/>
      <c r="C948" s="7"/>
      <c r="D948" s="7"/>
      <c r="E948" s="7"/>
      <c r="F948" s="7"/>
      <c r="G948" s="7"/>
      <c r="H948" s="7"/>
      <c r="I948" s="7"/>
      <c r="J948" s="7"/>
      <c r="K948" s="7"/>
      <c r="L948" s="7"/>
      <c r="M948" s="7"/>
    </row>
    <row r="949" spans="1:13" x14ac:dyDescent="0.4">
      <c r="A949" s="4"/>
      <c r="B949" s="7"/>
      <c r="C949" s="7"/>
      <c r="D949" s="7"/>
      <c r="E949" s="7"/>
      <c r="F949" s="7"/>
      <c r="G949" s="7"/>
      <c r="H949" s="7"/>
      <c r="I949" s="7"/>
      <c r="J949" s="7"/>
      <c r="K949" s="7"/>
      <c r="L949" s="7"/>
      <c r="M949" s="7"/>
    </row>
    <row r="950" spans="1:13" x14ac:dyDescent="0.4">
      <c r="A950" s="4"/>
      <c r="B950" s="7"/>
      <c r="C950" s="7"/>
      <c r="D950" s="7"/>
      <c r="E950" s="7"/>
      <c r="F950" s="7"/>
      <c r="G950" s="7"/>
      <c r="H950" s="7"/>
      <c r="I950" s="7"/>
      <c r="J950" s="7"/>
      <c r="K950" s="7"/>
      <c r="L950" s="7"/>
      <c r="M950" s="7"/>
    </row>
    <row r="951" spans="1:13" x14ac:dyDescent="0.4">
      <c r="A951" s="4"/>
      <c r="B951" s="7"/>
      <c r="C951" s="7"/>
      <c r="D951" s="7"/>
      <c r="E951" s="7"/>
      <c r="F951" s="7"/>
      <c r="G951" s="7"/>
      <c r="H951" s="7"/>
      <c r="I951" s="7"/>
      <c r="J951" s="7"/>
      <c r="K951" s="7"/>
      <c r="L951" s="7"/>
      <c r="M951" s="7"/>
    </row>
    <row r="952" spans="1:13" x14ac:dyDescent="0.4">
      <c r="A952" s="4"/>
      <c r="B952" s="7"/>
      <c r="C952" s="7"/>
      <c r="D952" s="7"/>
      <c r="E952" s="7"/>
      <c r="F952" s="7"/>
      <c r="G952" s="7"/>
      <c r="H952" s="7"/>
      <c r="I952" s="7"/>
      <c r="J952" s="7"/>
      <c r="K952" s="7"/>
      <c r="L952" s="7"/>
      <c r="M952" s="7"/>
    </row>
    <row r="953" spans="1:13" x14ac:dyDescent="0.4">
      <c r="A953" s="4"/>
      <c r="B953" s="7"/>
      <c r="C953" s="7"/>
      <c r="D953" s="7"/>
      <c r="E953" s="7"/>
      <c r="F953" s="7"/>
      <c r="G953" s="7"/>
      <c r="H953" s="7"/>
      <c r="I953" s="7"/>
      <c r="J953" s="7"/>
      <c r="K953" s="7"/>
      <c r="L953" s="7"/>
      <c r="M953" s="7"/>
    </row>
    <row r="954" spans="1:13" x14ac:dyDescent="0.4">
      <c r="A954" s="4"/>
      <c r="B954" s="7"/>
      <c r="C954" s="7"/>
      <c r="D954" s="7"/>
      <c r="E954" s="7"/>
      <c r="F954" s="7"/>
      <c r="G954" s="7"/>
      <c r="H954" s="7"/>
      <c r="I954" s="7"/>
      <c r="J954" s="7"/>
      <c r="K954" s="7"/>
      <c r="L954" s="7"/>
      <c r="M954" s="7"/>
    </row>
    <row r="956" spans="1:13" x14ac:dyDescent="0.4">
      <c r="A956" s="3"/>
    </row>
    <row r="957" spans="1:13" x14ac:dyDescent="0.4">
      <c r="A957" s="3"/>
    </row>
    <row r="958" spans="1:13" x14ac:dyDescent="0.4">
      <c r="A958" s="3"/>
    </row>
    <row r="961" spans="1:13" x14ac:dyDescent="0.4">
      <c r="A961" s="2"/>
    </row>
    <row r="962" spans="1:13" x14ac:dyDescent="0.4">
      <c r="A962" s="3"/>
    </row>
    <row r="964" spans="1:13" x14ac:dyDescent="0.4">
      <c r="A964" s="4"/>
      <c r="B964" s="4"/>
    </row>
    <row r="965" spans="1:13" x14ac:dyDescent="0.4">
      <c r="A965" s="4"/>
      <c r="B965" s="4"/>
    </row>
    <row r="966" spans="1:13" x14ac:dyDescent="0.4">
      <c r="A966" s="4"/>
      <c r="B966" s="4"/>
    </row>
    <row r="968" spans="1:13" x14ac:dyDescent="0.4">
      <c r="A968" s="5"/>
      <c r="B968" s="6"/>
      <c r="C968" s="6"/>
      <c r="D968" s="6"/>
      <c r="E968" s="6"/>
      <c r="F968" s="6"/>
      <c r="G968" s="6"/>
      <c r="H968" s="6"/>
      <c r="I968" s="6"/>
      <c r="J968" s="6"/>
      <c r="K968" s="6"/>
      <c r="L968" s="6"/>
      <c r="M968" s="6"/>
    </row>
    <row r="969" spans="1:13" x14ac:dyDescent="0.4">
      <c r="A969" s="4"/>
      <c r="B969" s="7"/>
      <c r="C969" s="7"/>
      <c r="D969" s="7"/>
      <c r="E969" s="7"/>
      <c r="F969" s="7"/>
      <c r="G969" s="7"/>
      <c r="H969" s="7"/>
      <c r="I969" s="7"/>
      <c r="J969" s="7"/>
      <c r="K969" s="7"/>
      <c r="L969" s="7"/>
      <c r="M969" s="7"/>
    </row>
    <row r="970" spans="1:13" x14ac:dyDescent="0.4">
      <c r="A970" s="4"/>
      <c r="B970" s="7"/>
      <c r="C970" s="7"/>
      <c r="D970" s="7"/>
      <c r="E970" s="7"/>
      <c r="F970" s="7"/>
      <c r="G970" s="7"/>
      <c r="H970" s="7"/>
      <c r="I970" s="7"/>
      <c r="J970" s="7"/>
      <c r="K970" s="7"/>
      <c r="L970" s="7"/>
      <c r="M970" s="7"/>
    </row>
    <row r="971" spans="1:13" x14ac:dyDescent="0.4">
      <c r="A971" s="4"/>
      <c r="B971" s="7"/>
      <c r="C971" s="7"/>
      <c r="D971" s="7"/>
      <c r="E971" s="7"/>
      <c r="F971" s="7"/>
      <c r="G971" s="7"/>
      <c r="H971" s="7"/>
      <c r="I971" s="7"/>
      <c r="J971" s="7"/>
      <c r="K971" s="7"/>
      <c r="L971" s="7"/>
      <c r="M971" s="7"/>
    </row>
    <row r="972" spans="1:13" x14ac:dyDescent="0.4">
      <c r="A972" s="4"/>
      <c r="B972" s="7"/>
      <c r="C972" s="7"/>
      <c r="D972" s="7"/>
      <c r="E972" s="7"/>
      <c r="F972" s="7"/>
      <c r="G972" s="7"/>
      <c r="H972" s="7"/>
      <c r="I972" s="7"/>
      <c r="J972" s="7"/>
      <c r="K972" s="7"/>
      <c r="L972" s="7"/>
      <c r="M972" s="7"/>
    </row>
    <row r="973" spans="1:13" x14ac:dyDescent="0.4">
      <c r="A973" s="4"/>
      <c r="B973" s="7"/>
      <c r="C973" s="7"/>
      <c r="D973" s="7"/>
      <c r="E973" s="7"/>
      <c r="F973" s="7"/>
      <c r="G973" s="7"/>
      <c r="H973" s="7"/>
      <c r="I973" s="7"/>
      <c r="J973" s="7"/>
      <c r="K973" s="7"/>
      <c r="L973" s="7"/>
      <c r="M973" s="7"/>
    </row>
    <row r="974" spans="1:13" x14ac:dyDescent="0.4">
      <c r="A974" s="4"/>
      <c r="B974" s="7"/>
      <c r="C974" s="7"/>
      <c r="D974" s="7"/>
      <c r="E974" s="7"/>
      <c r="F974" s="7"/>
      <c r="G974" s="7"/>
      <c r="H974" s="7"/>
      <c r="I974" s="7"/>
      <c r="J974" s="7"/>
      <c r="K974" s="7"/>
      <c r="L974" s="7"/>
      <c r="M974" s="7"/>
    </row>
    <row r="975" spans="1:13" x14ac:dyDescent="0.4">
      <c r="A975" s="4"/>
      <c r="B975" s="7"/>
      <c r="C975" s="7"/>
      <c r="D975" s="7"/>
      <c r="E975" s="7"/>
      <c r="F975" s="7"/>
      <c r="G975" s="7"/>
      <c r="H975" s="7"/>
      <c r="I975" s="7"/>
      <c r="J975" s="7"/>
      <c r="K975" s="7"/>
      <c r="L975" s="7"/>
      <c r="M975" s="7"/>
    </row>
    <row r="976" spans="1:13" x14ac:dyDescent="0.4">
      <c r="A976" s="4"/>
      <c r="B976" s="7"/>
      <c r="C976" s="7"/>
      <c r="D976" s="7"/>
      <c r="E976" s="7"/>
      <c r="F976" s="7"/>
      <c r="G976" s="7"/>
      <c r="H976" s="7"/>
      <c r="I976" s="7"/>
      <c r="J976" s="7"/>
      <c r="K976" s="7"/>
      <c r="L976" s="7"/>
      <c r="M976" s="7"/>
    </row>
    <row r="977" spans="1:13" x14ac:dyDescent="0.4">
      <c r="A977" s="4"/>
      <c r="B977" s="7"/>
      <c r="C977" s="7"/>
      <c r="D977" s="7"/>
      <c r="E977" s="7"/>
      <c r="F977" s="7"/>
      <c r="G977" s="7"/>
      <c r="H977" s="7"/>
      <c r="I977" s="7"/>
      <c r="J977" s="7"/>
      <c r="K977" s="7"/>
      <c r="L977" s="7"/>
      <c r="M977" s="7"/>
    </row>
    <row r="978" spans="1:13" x14ac:dyDescent="0.4">
      <c r="A978" s="4"/>
      <c r="B978" s="7"/>
      <c r="C978" s="7"/>
      <c r="D978" s="7"/>
      <c r="E978" s="7"/>
      <c r="F978" s="7"/>
      <c r="G978" s="7"/>
      <c r="H978" s="7"/>
      <c r="I978" s="7"/>
      <c r="J978" s="7"/>
      <c r="K978" s="7"/>
      <c r="L978" s="7"/>
      <c r="M978" s="7"/>
    </row>
    <row r="979" spans="1:13" x14ac:dyDescent="0.4">
      <c r="A979" s="4"/>
      <c r="B979" s="7"/>
      <c r="C979" s="7"/>
      <c r="D979" s="7"/>
      <c r="E979" s="7"/>
      <c r="F979" s="7"/>
      <c r="G979" s="7"/>
      <c r="H979" s="7"/>
      <c r="I979" s="7"/>
      <c r="J979" s="7"/>
      <c r="K979" s="7"/>
      <c r="L979" s="7"/>
      <c r="M979" s="7"/>
    </row>
    <row r="980" spans="1:13" x14ac:dyDescent="0.4">
      <c r="A980" s="4"/>
      <c r="B980" s="7"/>
      <c r="C980" s="7"/>
      <c r="D980" s="7"/>
      <c r="E980" s="7"/>
      <c r="F980" s="7"/>
      <c r="G980" s="7"/>
      <c r="H980" s="7"/>
      <c r="I980" s="7"/>
      <c r="J980" s="7"/>
      <c r="K980" s="7"/>
      <c r="L980" s="7"/>
      <c r="M980" s="7"/>
    </row>
    <row r="981" spans="1:13" x14ac:dyDescent="0.4">
      <c r="A981" s="4"/>
      <c r="B981" s="7"/>
      <c r="C981" s="7"/>
      <c r="D981" s="7"/>
      <c r="E981" s="7"/>
      <c r="F981" s="7"/>
      <c r="G981" s="7"/>
      <c r="H981" s="7"/>
      <c r="I981" s="7"/>
      <c r="J981" s="7"/>
      <c r="K981" s="7"/>
      <c r="L981" s="7"/>
      <c r="M981" s="7"/>
    </row>
    <row r="982" spans="1:13" x14ac:dyDescent="0.4">
      <c r="A982" s="4"/>
      <c r="B982" s="7"/>
      <c r="C982" s="7"/>
      <c r="D982" s="7"/>
      <c r="E982" s="7"/>
      <c r="F982" s="7"/>
      <c r="G982" s="7"/>
      <c r="H982" s="7"/>
      <c r="I982" s="7"/>
      <c r="J982" s="7"/>
      <c r="K982" s="7"/>
      <c r="L982" s="7"/>
      <c r="M982" s="7"/>
    </row>
    <row r="983" spans="1:13" x14ac:dyDescent="0.4">
      <c r="A983" s="4"/>
      <c r="B983" s="7"/>
      <c r="C983" s="7"/>
      <c r="D983" s="7"/>
      <c r="E983" s="7"/>
      <c r="F983" s="7"/>
      <c r="G983" s="7"/>
      <c r="H983" s="7"/>
      <c r="I983" s="7"/>
      <c r="J983" s="7"/>
      <c r="K983" s="7"/>
      <c r="L983" s="7"/>
      <c r="M983" s="7"/>
    </row>
    <row r="984" spans="1:13" x14ac:dyDescent="0.4">
      <c r="A984" s="4"/>
      <c r="B984" s="7"/>
      <c r="C984" s="7"/>
      <c r="D984" s="7"/>
      <c r="E984" s="7"/>
      <c r="F984" s="7"/>
      <c r="G984" s="7"/>
      <c r="H984" s="7"/>
      <c r="I984" s="7"/>
      <c r="J984" s="7"/>
      <c r="K984" s="7"/>
      <c r="L984" s="7"/>
      <c r="M984" s="7"/>
    </row>
    <row r="986" spans="1:13" x14ac:dyDescent="0.4">
      <c r="A986" s="3"/>
    </row>
    <row r="987" spans="1:13" x14ac:dyDescent="0.4">
      <c r="A987" s="3"/>
    </row>
    <row r="988" spans="1:13" x14ac:dyDescent="0.4">
      <c r="A988" s="3"/>
    </row>
    <row r="991" spans="1:13" x14ac:dyDescent="0.4">
      <c r="A991" s="2"/>
    </row>
    <row r="992" spans="1:13" x14ac:dyDescent="0.4">
      <c r="A992" s="3"/>
    </row>
    <row r="994" spans="1:13" x14ac:dyDescent="0.4">
      <c r="A994" s="4"/>
      <c r="B994" s="4"/>
    </row>
    <row r="995" spans="1:13" x14ac:dyDescent="0.4">
      <c r="A995" s="4"/>
      <c r="B995" s="4"/>
    </row>
    <row r="996" spans="1:13" x14ac:dyDescent="0.4">
      <c r="A996" s="4"/>
      <c r="B996" s="4"/>
    </row>
    <row r="998" spans="1:13" x14ac:dyDescent="0.4">
      <c r="A998" s="5"/>
      <c r="B998" s="6"/>
      <c r="C998" s="6"/>
      <c r="D998" s="6"/>
      <c r="E998" s="6"/>
      <c r="F998" s="6"/>
      <c r="G998" s="6"/>
      <c r="H998" s="6"/>
      <c r="I998" s="6"/>
      <c r="J998" s="6"/>
      <c r="K998" s="6"/>
      <c r="L998" s="6"/>
      <c r="M998" s="6"/>
    </row>
    <row r="999" spans="1:13" x14ac:dyDescent="0.4">
      <c r="A999" s="4"/>
      <c r="B999" s="7"/>
      <c r="C999" s="7"/>
      <c r="D999" s="7"/>
      <c r="E999" s="7"/>
      <c r="F999" s="7"/>
      <c r="G999" s="7"/>
      <c r="H999" s="7"/>
      <c r="I999" s="7"/>
      <c r="J999" s="7"/>
      <c r="K999" s="7"/>
      <c r="L999" s="7"/>
      <c r="M999" s="7"/>
    </row>
    <row r="1000" spans="1:13" x14ac:dyDescent="0.4">
      <c r="A1000" s="4"/>
      <c r="B1000" s="7"/>
      <c r="C1000" s="7"/>
      <c r="D1000" s="7"/>
      <c r="E1000" s="7"/>
      <c r="F1000" s="7"/>
      <c r="G1000" s="7"/>
      <c r="H1000" s="7"/>
      <c r="I1000" s="7"/>
      <c r="J1000" s="7"/>
      <c r="K1000" s="7"/>
      <c r="L1000" s="7"/>
      <c r="M1000" s="7"/>
    </row>
    <row r="1001" spans="1:13" x14ac:dyDescent="0.4">
      <c r="A1001" s="4"/>
      <c r="B1001" s="7"/>
      <c r="C1001" s="7"/>
      <c r="D1001" s="7"/>
      <c r="E1001" s="7"/>
      <c r="F1001" s="7"/>
      <c r="G1001" s="7"/>
      <c r="H1001" s="7"/>
      <c r="I1001" s="7"/>
      <c r="J1001" s="7"/>
      <c r="K1001" s="7"/>
      <c r="L1001" s="7"/>
      <c r="M1001" s="7"/>
    </row>
    <row r="1002" spans="1:13" x14ac:dyDescent="0.4">
      <c r="A1002" s="4"/>
      <c r="B1002" s="7"/>
      <c r="C1002" s="7"/>
      <c r="D1002" s="7"/>
      <c r="E1002" s="7"/>
      <c r="F1002" s="7"/>
      <c r="G1002" s="7"/>
      <c r="H1002" s="7"/>
      <c r="I1002" s="7"/>
      <c r="J1002" s="7"/>
      <c r="K1002" s="7"/>
      <c r="L1002" s="7"/>
      <c r="M1002" s="7"/>
    </row>
    <row r="1003" spans="1:13" x14ac:dyDescent="0.4">
      <c r="A1003" s="4"/>
      <c r="B1003" s="7"/>
      <c r="C1003" s="7"/>
      <c r="D1003" s="7"/>
      <c r="E1003" s="7"/>
      <c r="F1003" s="7"/>
      <c r="G1003" s="7"/>
      <c r="H1003" s="7"/>
      <c r="I1003" s="7"/>
      <c r="J1003" s="7"/>
      <c r="K1003" s="7"/>
      <c r="L1003" s="7"/>
      <c r="M1003" s="7"/>
    </row>
    <row r="1004" spans="1:13" x14ac:dyDescent="0.4">
      <c r="A1004" s="4"/>
      <c r="B1004" s="7"/>
      <c r="C1004" s="7"/>
      <c r="D1004" s="7"/>
      <c r="E1004" s="7"/>
      <c r="F1004" s="7"/>
      <c r="G1004" s="7"/>
      <c r="H1004" s="7"/>
      <c r="I1004" s="7"/>
      <c r="J1004" s="7"/>
      <c r="K1004" s="7"/>
      <c r="L1004" s="7"/>
      <c r="M1004" s="7"/>
    </row>
    <row r="1005" spans="1:13" x14ac:dyDescent="0.4">
      <c r="A1005" s="4"/>
      <c r="B1005" s="7"/>
      <c r="C1005" s="7"/>
      <c r="D1005" s="7"/>
      <c r="E1005" s="7"/>
      <c r="F1005" s="7"/>
      <c r="G1005" s="7"/>
      <c r="H1005" s="7"/>
      <c r="I1005" s="7"/>
      <c r="J1005" s="7"/>
      <c r="K1005" s="7"/>
      <c r="L1005" s="7"/>
      <c r="M1005" s="7"/>
    </row>
    <row r="1006" spans="1:13" x14ac:dyDescent="0.4">
      <c r="A1006" s="4"/>
      <c r="B1006" s="7"/>
      <c r="C1006" s="7"/>
      <c r="D1006" s="7"/>
      <c r="E1006" s="7"/>
      <c r="F1006" s="7"/>
      <c r="G1006" s="7"/>
      <c r="H1006" s="7"/>
      <c r="I1006" s="7"/>
      <c r="J1006" s="7"/>
      <c r="K1006" s="7"/>
      <c r="L1006" s="7"/>
      <c r="M1006" s="7"/>
    </row>
    <row r="1007" spans="1:13" x14ac:dyDescent="0.4">
      <c r="A1007" s="4"/>
      <c r="B1007" s="7"/>
      <c r="C1007" s="7"/>
      <c r="D1007" s="7"/>
      <c r="E1007" s="7"/>
      <c r="F1007" s="7"/>
      <c r="G1007" s="7"/>
      <c r="H1007" s="7"/>
      <c r="I1007" s="7"/>
      <c r="J1007" s="7"/>
      <c r="K1007" s="7"/>
      <c r="L1007" s="7"/>
      <c r="M1007" s="7"/>
    </row>
    <row r="1008" spans="1:13" x14ac:dyDescent="0.4">
      <c r="A1008" s="4"/>
      <c r="B1008" s="7"/>
      <c r="C1008" s="7"/>
      <c r="D1008" s="7"/>
      <c r="E1008" s="7"/>
      <c r="F1008" s="7"/>
      <c r="G1008" s="7"/>
      <c r="H1008" s="7"/>
      <c r="I1008" s="7"/>
      <c r="J1008" s="7"/>
      <c r="K1008" s="7"/>
      <c r="L1008" s="7"/>
      <c r="M1008" s="7"/>
    </row>
    <row r="1009" spans="1:13" x14ac:dyDescent="0.4">
      <c r="A1009" s="4"/>
      <c r="B1009" s="7"/>
      <c r="C1009" s="7"/>
      <c r="D1009" s="7"/>
      <c r="E1009" s="7"/>
      <c r="F1009" s="7"/>
      <c r="G1009" s="7"/>
      <c r="H1009" s="7"/>
      <c r="I1009" s="7"/>
      <c r="J1009" s="7"/>
      <c r="K1009" s="7"/>
      <c r="L1009" s="7"/>
      <c r="M1009" s="7"/>
    </row>
    <row r="1010" spans="1:13" x14ac:dyDescent="0.4">
      <c r="A1010" s="4"/>
      <c r="B1010" s="7"/>
      <c r="C1010" s="7"/>
      <c r="D1010" s="7"/>
      <c r="E1010" s="7"/>
      <c r="F1010" s="7"/>
      <c r="G1010" s="7"/>
      <c r="H1010" s="7"/>
      <c r="I1010" s="7"/>
      <c r="J1010" s="7"/>
      <c r="K1010" s="7"/>
      <c r="L1010" s="7"/>
      <c r="M1010" s="7"/>
    </row>
    <row r="1011" spans="1:13" x14ac:dyDescent="0.4">
      <c r="A1011" s="4"/>
      <c r="B1011" s="7"/>
      <c r="C1011" s="7"/>
      <c r="D1011" s="7"/>
      <c r="E1011" s="7"/>
      <c r="F1011" s="7"/>
      <c r="G1011" s="7"/>
      <c r="H1011" s="7"/>
      <c r="I1011" s="7"/>
      <c r="J1011" s="7"/>
      <c r="K1011" s="7"/>
      <c r="L1011" s="7"/>
      <c r="M1011" s="7"/>
    </row>
    <row r="1012" spans="1:13" x14ac:dyDescent="0.4">
      <c r="A1012" s="4"/>
      <c r="B1012" s="7"/>
      <c r="C1012" s="7"/>
      <c r="D1012" s="7"/>
      <c r="E1012" s="7"/>
      <c r="F1012" s="7"/>
      <c r="G1012" s="7"/>
      <c r="H1012" s="7"/>
      <c r="I1012" s="7"/>
      <c r="J1012" s="7"/>
      <c r="K1012" s="7"/>
      <c r="L1012" s="7"/>
      <c r="M1012" s="7"/>
    </row>
    <row r="1013" spans="1:13" x14ac:dyDescent="0.4">
      <c r="A1013" s="4"/>
      <c r="B1013" s="7"/>
      <c r="C1013" s="7"/>
      <c r="D1013" s="7"/>
      <c r="E1013" s="7"/>
      <c r="F1013" s="7"/>
      <c r="G1013" s="7"/>
      <c r="H1013" s="7"/>
      <c r="I1013" s="7"/>
      <c r="J1013" s="7"/>
      <c r="K1013" s="7"/>
      <c r="L1013" s="7"/>
      <c r="M1013" s="7"/>
    </row>
    <row r="1014" spans="1:13" x14ac:dyDescent="0.4">
      <c r="A1014" s="4"/>
      <c r="B1014" s="7"/>
      <c r="C1014" s="7"/>
      <c r="D1014" s="7"/>
      <c r="E1014" s="7"/>
      <c r="F1014" s="7"/>
      <c r="G1014" s="7"/>
      <c r="H1014" s="7"/>
      <c r="I1014" s="7"/>
      <c r="J1014" s="7"/>
      <c r="K1014" s="7"/>
      <c r="L1014" s="7"/>
      <c r="M1014" s="7"/>
    </row>
    <row r="1016" spans="1:13" x14ac:dyDescent="0.4">
      <c r="A1016" s="3"/>
    </row>
    <row r="1017" spans="1:13" x14ac:dyDescent="0.4">
      <c r="A1017" s="3"/>
    </row>
    <row r="1018" spans="1:13" x14ac:dyDescent="0.4">
      <c r="A1018" s="3"/>
    </row>
    <row r="1021" spans="1:13" x14ac:dyDescent="0.4">
      <c r="A1021" s="2"/>
    </row>
    <row r="1022" spans="1:13" x14ac:dyDescent="0.4">
      <c r="A1022" s="3"/>
    </row>
    <row r="1024" spans="1:13" x14ac:dyDescent="0.4">
      <c r="A1024" s="4"/>
      <c r="B1024" s="4"/>
    </row>
    <row r="1025" spans="1:13" x14ac:dyDescent="0.4">
      <c r="A1025" s="4"/>
      <c r="B1025" s="4"/>
    </row>
    <row r="1026" spans="1:13" x14ac:dyDescent="0.4">
      <c r="A1026" s="4"/>
      <c r="B1026" s="4"/>
    </row>
    <row r="1028" spans="1:13" x14ac:dyDescent="0.4">
      <c r="A1028" s="5"/>
      <c r="B1028" s="6"/>
      <c r="C1028" s="6"/>
      <c r="D1028" s="6"/>
      <c r="E1028" s="6"/>
      <c r="F1028" s="6"/>
      <c r="G1028" s="6"/>
      <c r="H1028" s="6"/>
      <c r="I1028" s="6"/>
      <c r="J1028" s="6"/>
      <c r="K1028" s="6"/>
      <c r="L1028" s="6"/>
      <c r="M1028" s="6"/>
    </row>
    <row r="1029" spans="1:13" x14ac:dyDescent="0.4">
      <c r="A1029" s="4"/>
      <c r="B1029" s="7"/>
      <c r="C1029" s="7"/>
      <c r="D1029" s="7"/>
      <c r="E1029" s="7"/>
      <c r="F1029" s="7"/>
      <c r="G1029" s="7"/>
      <c r="H1029" s="7"/>
      <c r="I1029" s="7"/>
      <c r="J1029" s="7"/>
      <c r="K1029" s="7"/>
      <c r="L1029" s="7"/>
      <c r="M1029" s="7"/>
    </row>
    <row r="1030" spans="1:13" x14ac:dyDescent="0.4">
      <c r="A1030" s="4"/>
      <c r="B1030" s="7"/>
      <c r="C1030" s="7"/>
      <c r="D1030" s="7"/>
      <c r="E1030" s="7"/>
      <c r="F1030" s="7"/>
      <c r="G1030" s="7"/>
      <c r="H1030" s="7"/>
      <c r="I1030" s="7"/>
      <c r="J1030" s="7"/>
      <c r="K1030" s="7"/>
      <c r="L1030" s="7"/>
      <c r="M1030" s="7"/>
    </row>
    <row r="1031" spans="1:13" x14ac:dyDescent="0.4">
      <c r="A1031" s="4"/>
      <c r="B1031" s="7"/>
      <c r="C1031" s="7"/>
      <c r="D1031" s="7"/>
      <c r="E1031" s="7"/>
      <c r="F1031" s="7"/>
      <c r="G1031" s="7"/>
      <c r="H1031" s="7"/>
      <c r="I1031" s="7"/>
      <c r="J1031" s="7"/>
      <c r="K1031" s="7"/>
      <c r="L1031" s="7"/>
      <c r="M1031" s="7"/>
    </row>
    <row r="1032" spans="1:13" x14ac:dyDescent="0.4">
      <c r="A1032" s="4"/>
      <c r="B1032" s="7"/>
      <c r="C1032" s="7"/>
      <c r="D1032" s="7"/>
      <c r="E1032" s="7"/>
      <c r="F1032" s="7"/>
      <c r="G1032" s="7"/>
      <c r="H1032" s="7"/>
      <c r="I1032" s="7"/>
      <c r="J1032" s="7"/>
      <c r="K1032" s="7"/>
      <c r="L1032" s="7"/>
      <c r="M1032" s="7"/>
    </row>
    <row r="1033" spans="1:13" x14ac:dyDescent="0.4">
      <c r="A1033" s="4"/>
      <c r="B1033" s="7"/>
      <c r="C1033" s="7"/>
      <c r="D1033" s="7"/>
      <c r="E1033" s="7"/>
      <c r="F1033" s="7"/>
      <c r="G1033" s="7"/>
      <c r="H1033" s="7"/>
      <c r="I1033" s="7"/>
      <c r="J1033" s="7"/>
      <c r="K1033" s="7"/>
      <c r="L1033" s="7"/>
      <c r="M1033" s="7"/>
    </row>
    <row r="1034" spans="1:13" x14ac:dyDescent="0.4">
      <c r="A1034" s="4"/>
      <c r="B1034" s="7"/>
      <c r="C1034" s="7"/>
      <c r="D1034" s="7"/>
      <c r="E1034" s="7"/>
      <c r="F1034" s="7"/>
      <c r="G1034" s="7"/>
      <c r="H1034" s="7"/>
      <c r="I1034" s="7"/>
      <c r="J1034" s="7"/>
      <c r="K1034" s="7"/>
      <c r="L1034" s="7"/>
      <c r="M1034" s="7"/>
    </row>
    <row r="1035" spans="1:13" x14ac:dyDescent="0.4">
      <c r="A1035" s="4"/>
      <c r="B1035" s="7"/>
      <c r="C1035" s="7"/>
      <c r="D1035" s="7"/>
      <c r="E1035" s="7"/>
      <c r="F1035" s="7"/>
      <c r="G1035" s="7"/>
      <c r="H1035" s="7"/>
      <c r="I1035" s="7"/>
      <c r="J1035" s="7"/>
      <c r="K1035" s="7"/>
      <c r="L1035" s="7"/>
      <c r="M1035" s="7"/>
    </row>
    <row r="1036" spans="1:13" x14ac:dyDescent="0.4">
      <c r="A1036" s="4"/>
      <c r="B1036" s="7"/>
      <c r="C1036" s="7"/>
      <c r="D1036" s="7"/>
      <c r="E1036" s="7"/>
      <c r="F1036" s="7"/>
      <c r="G1036" s="7"/>
      <c r="H1036" s="7"/>
      <c r="I1036" s="7"/>
      <c r="J1036" s="7"/>
      <c r="K1036" s="7"/>
      <c r="L1036" s="7"/>
      <c r="M1036" s="7"/>
    </row>
    <row r="1037" spans="1:13" x14ac:dyDescent="0.4">
      <c r="A1037" s="4"/>
      <c r="B1037" s="7"/>
      <c r="C1037" s="7"/>
      <c r="D1037" s="7"/>
      <c r="E1037" s="7"/>
      <c r="F1037" s="7"/>
      <c r="G1037" s="7"/>
      <c r="H1037" s="7"/>
      <c r="I1037" s="7"/>
      <c r="J1037" s="7"/>
      <c r="K1037" s="7"/>
      <c r="L1037" s="7"/>
      <c r="M1037" s="7"/>
    </row>
    <row r="1038" spans="1:13" x14ac:dyDescent="0.4">
      <c r="A1038" s="4"/>
      <c r="B1038" s="7"/>
      <c r="C1038" s="7"/>
      <c r="D1038" s="7"/>
      <c r="E1038" s="7"/>
      <c r="F1038" s="7"/>
      <c r="G1038" s="7"/>
      <c r="H1038" s="7"/>
      <c r="I1038" s="7"/>
      <c r="J1038" s="7"/>
      <c r="K1038" s="7"/>
      <c r="L1038" s="7"/>
      <c r="M1038" s="7"/>
    </row>
    <row r="1039" spans="1:13" x14ac:dyDescent="0.4">
      <c r="A1039" s="4"/>
      <c r="B1039" s="7"/>
      <c r="C1039" s="7"/>
      <c r="D1039" s="7"/>
      <c r="E1039" s="7"/>
      <c r="F1039" s="7"/>
      <c r="G1039" s="7"/>
      <c r="H1039" s="7"/>
      <c r="I1039" s="7"/>
      <c r="J1039" s="7"/>
      <c r="K1039" s="7"/>
      <c r="L1039" s="7"/>
      <c r="M1039" s="7"/>
    </row>
    <row r="1040" spans="1:13" x14ac:dyDescent="0.4">
      <c r="A1040" s="4"/>
      <c r="B1040" s="7"/>
      <c r="C1040" s="7"/>
      <c r="D1040" s="7"/>
      <c r="E1040" s="7"/>
      <c r="F1040" s="7"/>
      <c r="G1040" s="7"/>
      <c r="H1040" s="7"/>
      <c r="I1040" s="7"/>
      <c r="J1040" s="7"/>
      <c r="K1040" s="7"/>
      <c r="L1040" s="7"/>
      <c r="M1040" s="7"/>
    </row>
    <row r="1041" spans="1:13" x14ac:dyDescent="0.4">
      <c r="A1041" s="4"/>
      <c r="B1041" s="7"/>
      <c r="C1041" s="7"/>
      <c r="D1041" s="7"/>
      <c r="E1041" s="7"/>
      <c r="F1041" s="7"/>
      <c r="G1041" s="7"/>
      <c r="H1041" s="7"/>
      <c r="I1041" s="7"/>
      <c r="J1041" s="7"/>
      <c r="K1041" s="7"/>
      <c r="L1041" s="7"/>
      <c r="M1041" s="7"/>
    </row>
    <row r="1042" spans="1:13" x14ac:dyDescent="0.4">
      <c r="A1042" s="4"/>
      <c r="B1042" s="7"/>
      <c r="C1042" s="7"/>
      <c r="D1042" s="7"/>
      <c r="E1042" s="7"/>
      <c r="F1042" s="7"/>
      <c r="G1042" s="7"/>
      <c r="H1042" s="7"/>
      <c r="I1042" s="7"/>
      <c r="J1042" s="7"/>
      <c r="K1042" s="7"/>
      <c r="L1042" s="7"/>
      <c r="M1042" s="7"/>
    </row>
    <row r="1043" spans="1:13" x14ac:dyDescent="0.4">
      <c r="A1043" s="4"/>
      <c r="B1043" s="7"/>
      <c r="C1043" s="7"/>
      <c r="D1043" s="7"/>
      <c r="E1043" s="7"/>
      <c r="F1043" s="7"/>
      <c r="G1043" s="7"/>
      <c r="H1043" s="7"/>
      <c r="I1043" s="7"/>
      <c r="J1043" s="7"/>
      <c r="K1043" s="7"/>
      <c r="L1043" s="7"/>
      <c r="M1043" s="7"/>
    </row>
    <row r="1044" spans="1:13" x14ac:dyDescent="0.4">
      <c r="A1044" s="4"/>
      <c r="B1044" s="7"/>
      <c r="C1044" s="7"/>
      <c r="D1044" s="7"/>
      <c r="E1044" s="7"/>
      <c r="F1044" s="7"/>
      <c r="G1044" s="7"/>
      <c r="H1044" s="7"/>
      <c r="I1044" s="7"/>
      <c r="J1044" s="7"/>
      <c r="K1044" s="7"/>
      <c r="L1044" s="7"/>
      <c r="M1044" s="7"/>
    </row>
    <row r="1046" spans="1:13" x14ac:dyDescent="0.4">
      <c r="A1046" s="3"/>
    </row>
    <row r="1047" spans="1:13" x14ac:dyDescent="0.4">
      <c r="A1047" s="3"/>
    </row>
    <row r="1048" spans="1:13" x14ac:dyDescent="0.4">
      <c r="A1048" s="3"/>
    </row>
    <row r="1051" spans="1:13" x14ac:dyDescent="0.4">
      <c r="A1051" s="2"/>
    </row>
    <row r="1052" spans="1:13" x14ac:dyDescent="0.4">
      <c r="A1052" s="3"/>
    </row>
    <row r="1054" spans="1:13" x14ac:dyDescent="0.4">
      <c r="A1054" s="4"/>
      <c r="B1054" s="4"/>
    </row>
    <row r="1055" spans="1:13" x14ac:dyDescent="0.4">
      <c r="A1055" s="4"/>
      <c r="B1055" s="4"/>
    </row>
    <row r="1056" spans="1:13" x14ac:dyDescent="0.4">
      <c r="A1056" s="4"/>
      <c r="B1056" s="4"/>
    </row>
    <row r="1058" spans="1:13" x14ac:dyDescent="0.4">
      <c r="A1058" s="5"/>
      <c r="B1058" s="6"/>
      <c r="C1058" s="6"/>
      <c r="D1058" s="6"/>
      <c r="E1058" s="6"/>
      <c r="F1058" s="6"/>
      <c r="G1058" s="6"/>
      <c r="H1058" s="6"/>
      <c r="I1058" s="6"/>
      <c r="J1058" s="6"/>
      <c r="K1058" s="6"/>
      <c r="L1058" s="6"/>
      <c r="M1058" s="6"/>
    </row>
    <row r="1059" spans="1:13" x14ac:dyDescent="0.4">
      <c r="A1059" s="4"/>
      <c r="B1059" s="7"/>
      <c r="C1059" s="7"/>
      <c r="D1059" s="7"/>
      <c r="E1059" s="7"/>
      <c r="F1059" s="7"/>
      <c r="G1059" s="7"/>
      <c r="H1059" s="7"/>
      <c r="I1059" s="7"/>
      <c r="J1059" s="7"/>
      <c r="K1059" s="7"/>
      <c r="L1059" s="7"/>
      <c r="M1059" s="7"/>
    </row>
    <row r="1060" spans="1:13" x14ac:dyDescent="0.4">
      <c r="A1060" s="4"/>
      <c r="B1060" s="7"/>
      <c r="C1060" s="7"/>
      <c r="D1060" s="7"/>
      <c r="E1060" s="7"/>
      <c r="F1060" s="7"/>
      <c r="G1060" s="7"/>
      <c r="H1060" s="7"/>
      <c r="I1060" s="7"/>
      <c r="J1060" s="7"/>
      <c r="K1060" s="7"/>
      <c r="L1060" s="7"/>
      <c r="M1060" s="7"/>
    </row>
    <row r="1061" spans="1:13" x14ac:dyDescent="0.4">
      <c r="A1061" s="4"/>
      <c r="B1061" s="7"/>
      <c r="C1061" s="7"/>
      <c r="D1061" s="7"/>
      <c r="E1061" s="7"/>
      <c r="F1061" s="7"/>
      <c r="G1061" s="7"/>
      <c r="H1061" s="7"/>
      <c r="I1061" s="7"/>
      <c r="J1061" s="7"/>
      <c r="K1061" s="7"/>
      <c r="L1061" s="7"/>
      <c r="M1061" s="7"/>
    </row>
    <row r="1062" spans="1:13" x14ac:dyDescent="0.4">
      <c r="A1062" s="4"/>
      <c r="B1062" s="7"/>
      <c r="C1062" s="7"/>
      <c r="D1062" s="7"/>
      <c r="E1062" s="7"/>
      <c r="F1062" s="7"/>
      <c r="G1062" s="7"/>
      <c r="H1062" s="7"/>
      <c r="I1062" s="7"/>
      <c r="J1062" s="7"/>
      <c r="K1062" s="7"/>
      <c r="L1062" s="7"/>
      <c r="M1062" s="7"/>
    </row>
    <row r="1063" spans="1:13" x14ac:dyDescent="0.4">
      <c r="A1063" s="4"/>
      <c r="B1063" s="7"/>
      <c r="C1063" s="7"/>
      <c r="D1063" s="7"/>
      <c r="E1063" s="7"/>
      <c r="F1063" s="7"/>
      <c r="G1063" s="7"/>
      <c r="H1063" s="7"/>
      <c r="I1063" s="7"/>
      <c r="J1063" s="7"/>
      <c r="K1063" s="7"/>
      <c r="L1063" s="7"/>
      <c r="M1063" s="7"/>
    </row>
    <row r="1064" spans="1:13" x14ac:dyDescent="0.4">
      <c r="A1064" s="4"/>
      <c r="B1064" s="7"/>
      <c r="C1064" s="7"/>
      <c r="D1064" s="7"/>
      <c r="E1064" s="7"/>
      <c r="F1064" s="7"/>
      <c r="G1064" s="7"/>
      <c r="H1064" s="7"/>
      <c r="I1064" s="7"/>
      <c r="J1064" s="7"/>
      <c r="K1064" s="7"/>
      <c r="L1064" s="7"/>
      <c r="M1064" s="7"/>
    </row>
    <row r="1065" spans="1:13" x14ac:dyDescent="0.4">
      <c r="A1065" s="4"/>
      <c r="B1065" s="7"/>
      <c r="C1065" s="7"/>
      <c r="D1065" s="7"/>
      <c r="E1065" s="7"/>
      <c r="F1065" s="7"/>
      <c r="G1065" s="7"/>
      <c r="H1065" s="7"/>
      <c r="I1065" s="7"/>
      <c r="J1065" s="7"/>
      <c r="K1065" s="7"/>
      <c r="L1065" s="7"/>
      <c r="M1065" s="7"/>
    </row>
    <row r="1066" spans="1:13" x14ac:dyDescent="0.4">
      <c r="A1066" s="4"/>
      <c r="B1066" s="7"/>
      <c r="C1066" s="7"/>
      <c r="D1066" s="7"/>
      <c r="E1066" s="7"/>
      <c r="F1066" s="7"/>
      <c r="G1066" s="7"/>
      <c r="H1066" s="7"/>
      <c r="I1066" s="7"/>
      <c r="J1066" s="7"/>
      <c r="K1066" s="7"/>
      <c r="L1066" s="7"/>
      <c r="M1066" s="7"/>
    </row>
    <row r="1067" spans="1:13" x14ac:dyDescent="0.4">
      <c r="A1067" s="4"/>
      <c r="B1067" s="7"/>
      <c r="C1067" s="7"/>
      <c r="D1067" s="7"/>
      <c r="E1067" s="7"/>
      <c r="F1067" s="7"/>
      <c r="G1067" s="7"/>
      <c r="H1067" s="7"/>
      <c r="I1067" s="7"/>
      <c r="J1067" s="7"/>
      <c r="K1067" s="7"/>
      <c r="L1067" s="7"/>
      <c r="M1067" s="7"/>
    </row>
    <row r="1068" spans="1:13" x14ac:dyDescent="0.4">
      <c r="A1068" s="4"/>
      <c r="B1068" s="7"/>
      <c r="C1068" s="7"/>
      <c r="D1068" s="7"/>
      <c r="E1068" s="7"/>
      <c r="F1068" s="7"/>
      <c r="G1068" s="7"/>
      <c r="H1068" s="7"/>
      <c r="I1068" s="7"/>
      <c r="J1068" s="7"/>
      <c r="K1068" s="7"/>
      <c r="L1068" s="7"/>
      <c r="M1068" s="7"/>
    </row>
    <row r="1069" spans="1:13" x14ac:dyDescent="0.4">
      <c r="A1069" s="4"/>
      <c r="B1069" s="7"/>
      <c r="C1069" s="7"/>
      <c r="D1069" s="7"/>
      <c r="E1069" s="7"/>
      <c r="F1069" s="7"/>
      <c r="G1069" s="7"/>
      <c r="H1069" s="7"/>
      <c r="I1069" s="7"/>
      <c r="J1069" s="7"/>
      <c r="K1069" s="7"/>
      <c r="L1069" s="7"/>
      <c r="M1069" s="7"/>
    </row>
    <row r="1070" spans="1:13" x14ac:dyDescent="0.4">
      <c r="A1070" s="4"/>
      <c r="B1070" s="7"/>
      <c r="C1070" s="7"/>
      <c r="D1070" s="7"/>
      <c r="E1070" s="7"/>
      <c r="F1070" s="7"/>
      <c r="G1070" s="7"/>
      <c r="H1070" s="7"/>
      <c r="I1070" s="7"/>
      <c r="J1070" s="7"/>
      <c r="K1070" s="7"/>
      <c r="L1070" s="7"/>
      <c r="M1070" s="7"/>
    </row>
    <row r="1071" spans="1:13" x14ac:dyDescent="0.4">
      <c r="A1071" s="4"/>
      <c r="B1071" s="7"/>
      <c r="C1071" s="7"/>
      <c r="D1071" s="7"/>
      <c r="E1071" s="7"/>
      <c r="F1071" s="7"/>
      <c r="G1071" s="7"/>
      <c r="H1071" s="7"/>
      <c r="I1071" s="7"/>
      <c r="J1071" s="7"/>
      <c r="K1071" s="7"/>
      <c r="L1071" s="7"/>
      <c r="M1071" s="7"/>
    </row>
    <row r="1072" spans="1:13" x14ac:dyDescent="0.4">
      <c r="A1072" s="4"/>
      <c r="B1072" s="7"/>
      <c r="C1072" s="7"/>
      <c r="D1072" s="7"/>
      <c r="E1072" s="7"/>
      <c r="F1072" s="7"/>
      <c r="G1072" s="7"/>
      <c r="H1072" s="7"/>
      <c r="I1072" s="7"/>
      <c r="J1072" s="7"/>
      <c r="K1072" s="7"/>
      <c r="L1072" s="7"/>
      <c r="M1072" s="7"/>
    </row>
    <row r="1073" spans="1:13" x14ac:dyDescent="0.4">
      <c r="A1073" s="4"/>
      <c r="B1073" s="7"/>
      <c r="C1073" s="7"/>
      <c r="D1073" s="7"/>
      <c r="E1073" s="7"/>
      <c r="F1073" s="7"/>
      <c r="G1073" s="7"/>
      <c r="H1073" s="7"/>
      <c r="I1073" s="7"/>
      <c r="J1073" s="7"/>
      <c r="K1073" s="7"/>
      <c r="L1073" s="7"/>
      <c r="M1073" s="7"/>
    </row>
    <row r="1074" spans="1:13" x14ac:dyDescent="0.4">
      <c r="A1074" s="4"/>
      <c r="B1074" s="7"/>
      <c r="C1074" s="7"/>
      <c r="D1074" s="7"/>
      <c r="E1074" s="7"/>
      <c r="F1074" s="7"/>
      <c r="G1074" s="7"/>
      <c r="H1074" s="7"/>
      <c r="I1074" s="7"/>
      <c r="J1074" s="7"/>
      <c r="K1074" s="7"/>
      <c r="L1074" s="7"/>
      <c r="M1074" s="7"/>
    </row>
    <row r="1076" spans="1:13" x14ac:dyDescent="0.4">
      <c r="A1076" s="3"/>
    </row>
    <row r="1077" spans="1:13" x14ac:dyDescent="0.4">
      <c r="A1077" s="3"/>
    </row>
    <row r="1078" spans="1:13" x14ac:dyDescent="0.4">
      <c r="A1078"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08FFE-477D-9449-8718-7F52044D0AA0}">
  <dimension ref="A1:L39"/>
  <sheetViews>
    <sheetView tabSelected="1" zoomScaleNormal="100" workbookViewId="0"/>
  </sheetViews>
  <sheetFormatPr defaultColWidth="10.6640625" defaultRowHeight="16" x14ac:dyDescent="0.4"/>
  <cols>
    <col min="1" max="1" width="22.6640625" bestFit="1" customWidth="1"/>
    <col min="2" max="2" width="57.1640625" bestFit="1" customWidth="1"/>
    <col min="6" max="7" width="17.1640625" bestFit="1" customWidth="1"/>
    <col min="8" max="8" width="15.1640625" bestFit="1" customWidth="1"/>
  </cols>
  <sheetData>
    <row r="1" spans="1:9" x14ac:dyDescent="0.4">
      <c r="A1" t="s">
        <v>0</v>
      </c>
      <c r="B1" t="s">
        <v>18</v>
      </c>
      <c r="C1" t="s">
        <v>66</v>
      </c>
      <c r="D1" t="s">
        <v>67</v>
      </c>
      <c r="E1" t="s">
        <v>68</v>
      </c>
      <c r="F1" t="s">
        <v>71</v>
      </c>
      <c r="G1" t="s">
        <v>69</v>
      </c>
      <c r="H1" t="s">
        <v>72</v>
      </c>
      <c r="I1" t="s">
        <v>80</v>
      </c>
    </row>
    <row r="2" spans="1:9" x14ac:dyDescent="0.4">
      <c r="A2" t="s">
        <v>65</v>
      </c>
      <c r="B2" s="4" t="s">
        <v>49</v>
      </c>
      <c r="C2" s="7">
        <v>5735</v>
      </c>
      <c r="D2" s="7">
        <v>5760</v>
      </c>
      <c r="E2" s="7">
        <v>5245</v>
      </c>
      <c r="F2">
        <f>100*(E2-C2)/C2</f>
        <v>-8.5440278988666094</v>
      </c>
      <c r="G2">
        <f>100*(E2-D2)/D2</f>
        <v>-8.9409722222222214</v>
      </c>
      <c r="H2">
        <f>100*E2/101954</f>
        <v>5.1444769209643564</v>
      </c>
      <c r="I2" s="8">
        <f>E2-C2</f>
        <v>-490</v>
      </c>
    </row>
    <row r="3" spans="1:9" x14ac:dyDescent="0.4">
      <c r="A3" t="s">
        <v>65</v>
      </c>
      <c r="B3" s="4" t="s">
        <v>50</v>
      </c>
      <c r="C3" s="7">
        <v>30</v>
      </c>
      <c r="D3" s="7">
        <v>25</v>
      </c>
      <c r="E3" s="7">
        <v>25</v>
      </c>
      <c r="F3">
        <f t="shared" ref="F3:F39" si="0">100*(E3-C3)/C3</f>
        <v>-16.666666666666668</v>
      </c>
      <c r="G3">
        <f t="shared" ref="G3:G39" si="1">100*(E3-D3)/D3</f>
        <v>0</v>
      </c>
      <c r="H3">
        <f t="shared" ref="H3:H20" si="2">100*E3/101954</f>
        <v>2.4520862349687114E-2</v>
      </c>
      <c r="I3" s="8">
        <f t="shared" ref="I3:I39" si="3">E3-C3</f>
        <v>-5</v>
      </c>
    </row>
    <row r="4" spans="1:9" x14ac:dyDescent="0.4">
      <c r="A4" t="s">
        <v>65</v>
      </c>
      <c r="B4" s="4" t="s">
        <v>26</v>
      </c>
      <c r="C4" s="7">
        <v>5050</v>
      </c>
      <c r="D4" s="7">
        <v>5270</v>
      </c>
      <c r="E4" s="7">
        <v>4905</v>
      </c>
      <c r="F4">
        <f t="shared" si="0"/>
        <v>-2.8712871287128712</v>
      </c>
      <c r="G4">
        <f t="shared" si="1"/>
        <v>-6.9259962049335861</v>
      </c>
      <c r="H4">
        <f t="shared" si="2"/>
        <v>4.8109931930086116</v>
      </c>
      <c r="I4" s="8">
        <f t="shared" si="3"/>
        <v>-145</v>
      </c>
    </row>
    <row r="5" spans="1:9" x14ac:dyDescent="0.4">
      <c r="A5" t="s">
        <v>65</v>
      </c>
      <c r="B5" s="4" t="s">
        <v>51</v>
      </c>
      <c r="C5" s="7">
        <v>175</v>
      </c>
      <c r="D5" s="7">
        <v>210</v>
      </c>
      <c r="E5" s="7">
        <v>295</v>
      </c>
      <c r="F5">
        <f t="shared" si="0"/>
        <v>68.571428571428569</v>
      </c>
      <c r="G5">
        <f t="shared" si="1"/>
        <v>40.476190476190474</v>
      </c>
      <c r="H5">
        <f t="shared" si="2"/>
        <v>0.28934617572630794</v>
      </c>
      <c r="I5" s="8">
        <f t="shared" si="3"/>
        <v>120</v>
      </c>
    </row>
    <row r="6" spans="1:9" x14ac:dyDescent="0.4">
      <c r="A6" t="s">
        <v>65</v>
      </c>
      <c r="B6" s="4" t="s">
        <v>52</v>
      </c>
      <c r="C6" s="7">
        <v>265</v>
      </c>
      <c r="D6" s="7">
        <v>275</v>
      </c>
      <c r="E6" s="7">
        <v>290</v>
      </c>
      <c r="F6">
        <f t="shared" si="0"/>
        <v>9.433962264150944</v>
      </c>
      <c r="G6">
        <f t="shared" si="1"/>
        <v>5.4545454545454541</v>
      </c>
      <c r="H6">
        <f t="shared" si="2"/>
        <v>0.28444200325637053</v>
      </c>
      <c r="I6" s="8">
        <f t="shared" si="3"/>
        <v>25</v>
      </c>
    </row>
    <row r="7" spans="1:9" x14ac:dyDescent="0.4">
      <c r="A7" t="s">
        <v>65</v>
      </c>
      <c r="B7" s="4" t="s">
        <v>27</v>
      </c>
      <c r="C7" s="7">
        <v>11625</v>
      </c>
      <c r="D7" s="7">
        <v>13730</v>
      </c>
      <c r="E7" s="7">
        <v>14870</v>
      </c>
      <c r="F7">
        <f t="shared" si="0"/>
        <v>27.913978494623656</v>
      </c>
      <c r="G7">
        <f t="shared" si="1"/>
        <v>8.3029861616897307</v>
      </c>
      <c r="H7">
        <f t="shared" si="2"/>
        <v>14.585008925593895</v>
      </c>
      <c r="I7" s="8">
        <f t="shared" si="3"/>
        <v>3245</v>
      </c>
    </row>
    <row r="8" spans="1:9" x14ac:dyDescent="0.4">
      <c r="A8" t="s">
        <v>65</v>
      </c>
      <c r="B8" s="4" t="s">
        <v>53</v>
      </c>
      <c r="C8" s="7">
        <v>13165</v>
      </c>
      <c r="D8" s="7">
        <v>12645</v>
      </c>
      <c r="E8" s="7">
        <v>12980</v>
      </c>
      <c r="F8">
        <f t="shared" si="0"/>
        <v>-1.4052411697683251</v>
      </c>
      <c r="G8">
        <f t="shared" si="1"/>
        <v>2.649268485567418</v>
      </c>
      <c r="H8">
        <f t="shared" si="2"/>
        <v>12.73123173195755</v>
      </c>
      <c r="I8" s="8">
        <f t="shared" si="3"/>
        <v>-185</v>
      </c>
    </row>
    <row r="9" spans="1:9" x14ac:dyDescent="0.4">
      <c r="A9" t="s">
        <v>65</v>
      </c>
      <c r="B9" s="4" t="s">
        <v>54</v>
      </c>
      <c r="C9" s="7">
        <v>3175</v>
      </c>
      <c r="D9" s="7">
        <v>4490</v>
      </c>
      <c r="E9" s="7">
        <v>4130</v>
      </c>
      <c r="F9">
        <f t="shared" si="0"/>
        <v>30.078740157480315</v>
      </c>
      <c r="G9">
        <f t="shared" si="1"/>
        <v>-8.0178173719376389</v>
      </c>
      <c r="H9">
        <f t="shared" si="2"/>
        <v>4.0508464601683114</v>
      </c>
      <c r="I9" s="8">
        <f t="shared" si="3"/>
        <v>955</v>
      </c>
    </row>
    <row r="10" spans="1:9" x14ac:dyDescent="0.4">
      <c r="A10" t="s">
        <v>65</v>
      </c>
      <c r="B10" s="4" t="s">
        <v>55</v>
      </c>
      <c r="C10" s="7">
        <v>5375</v>
      </c>
      <c r="D10" s="7">
        <v>5820</v>
      </c>
      <c r="E10" s="7">
        <v>6385</v>
      </c>
      <c r="F10">
        <f t="shared" si="0"/>
        <v>18.790697674418606</v>
      </c>
      <c r="G10">
        <f t="shared" si="1"/>
        <v>9.7079037800687278</v>
      </c>
      <c r="H10">
        <f t="shared" si="2"/>
        <v>6.2626282441100889</v>
      </c>
      <c r="I10" s="8">
        <f t="shared" si="3"/>
        <v>1010</v>
      </c>
    </row>
    <row r="11" spans="1:9" x14ac:dyDescent="0.4">
      <c r="A11" t="s">
        <v>65</v>
      </c>
      <c r="B11" s="4" t="s">
        <v>56</v>
      </c>
      <c r="C11" s="7">
        <v>8975</v>
      </c>
      <c r="D11" s="7">
        <v>9985</v>
      </c>
      <c r="E11" s="7">
        <v>7755</v>
      </c>
      <c r="F11">
        <f t="shared" si="0"/>
        <v>-13.593314763231199</v>
      </c>
      <c r="G11">
        <f t="shared" si="1"/>
        <v>-22.333500250375565</v>
      </c>
      <c r="H11">
        <f t="shared" si="2"/>
        <v>7.6063715008729424</v>
      </c>
      <c r="I11" s="8">
        <f t="shared" si="3"/>
        <v>-1220</v>
      </c>
    </row>
    <row r="12" spans="1:9" x14ac:dyDescent="0.4">
      <c r="A12" t="s">
        <v>65</v>
      </c>
      <c r="B12" s="4" t="s">
        <v>57</v>
      </c>
      <c r="C12" s="7">
        <v>1995</v>
      </c>
      <c r="D12" s="7">
        <v>2580</v>
      </c>
      <c r="E12" s="7">
        <v>2180</v>
      </c>
      <c r="F12">
        <f t="shared" si="0"/>
        <v>9.2731829573934839</v>
      </c>
      <c r="G12">
        <f t="shared" si="1"/>
        <v>-15.503875968992247</v>
      </c>
      <c r="H12">
        <f t="shared" si="2"/>
        <v>2.1382191968927162</v>
      </c>
      <c r="I12" s="8">
        <f t="shared" si="3"/>
        <v>185</v>
      </c>
    </row>
    <row r="13" spans="1:9" x14ac:dyDescent="0.4">
      <c r="A13" t="s">
        <v>65</v>
      </c>
      <c r="B13" s="4" t="s">
        <v>58</v>
      </c>
      <c r="C13" s="7">
        <v>3295</v>
      </c>
      <c r="D13" s="7">
        <v>3715</v>
      </c>
      <c r="E13" s="7">
        <v>4380</v>
      </c>
      <c r="F13">
        <f t="shared" si="0"/>
        <v>32.928679817905916</v>
      </c>
      <c r="G13">
        <f t="shared" si="1"/>
        <v>17.900403768506056</v>
      </c>
      <c r="H13">
        <f t="shared" si="2"/>
        <v>4.2960550836651823</v>
      </c>
      <c r="I13" s="8">
        <f t="shared" si="3"/>
        <v>1085</v>
      </c>
    </row>
    <row r="14" spans="1:9" x14ac:dyDescent="0.4">
      <c r="A14" t="s">
        <v>65</v>
      </c>
      <c r="B14" s="4" t="s">
        <v>59</v>
      </c>
      <c r="C14" s="7">
        <v>18545</v>
      </c>
      <c r="D14" s="7">
        <v>19525</v>
      </c>
      <c r="E14" s="7">
        <v>16860</v>
      </c>
      <c r="F14">
        <f t="shared" si="0"/>
        <v>-9.0860070099757344</v>
      </c>
      <c r="G14">
        <f t="shared" si="1"/>
        <v>-13.649167733674776</v>
      </c>
      <c r="H14">
        <f t="shared" si="2"/>
        <v>16.53686956862899</v>
      </c>
      <c r="I14" s="8">
        <f t="shared" si="3"/>
        <v>-1685</v>
      </c>
    </row>
    <row r="15" spans="1:9" x14ac:dyDescent="0.4">
      <c r="A15" t="s">
        <v>65</v>
      </c>
      <c r="B15" s="4" t="s">
        <v>60</v>
      </c>
      <c r="C15" s="7">
        <v>7695</v>
      </c>
      <c r="D15" s="7">
        <v>8750</v>
      </c>
      <c r="E15" s="7">
        <v>8390</v>
      </c>
      <c r="F15">
        <f t="shared" si="0"/>
        <v>9.0318388564002596</v>
      </c>
      <c r="G15">
        <f t="shared" si="1"/>
        <v>-4.1142857142857139</v>
      </c>
      <c r="H15">
        <f t="shared" si="2"/>
        <v>8.2292014045549955</v>
      </c>
      <c r="I15" s="8">
        <f t="shared" si="3"/>
        <v>695</v>
      </c>
    </row>
    <row r="16" spans="1:9" x14ac:dyDescent="0.4">
      <c r="A16" t="s">
        <v>65</v>
      </c>
      <c r="B16" s="4" t="s">
        <v>61</v>
      </c>
      <c r="C16" s="7">
        <v>0</v>
      </c>
      <c r="D16" s="7">
        <v>0</v>
      </c>
      <c r="E16" s="7">
        <v>0</v>
      </c>
      <c r="F16">
        <v>0</v>
      </c>
      <c r="G16">
        <v>0</v>
      </c>
      <c r="H16">
        <f t="shared" si="2"/>
        <v>0</v>
      </c>
      <c r="I16" s="8">
        <f t="shared" si="3"/>
        <v>0</v>
      </c>
    </row>
    <row r="17" spans="1:9" x14ac:dyDescent="0.4">
      <c r="A17" t="s">
        <v>65</v>
      </c>
      <c r="B17" s="4" t="s">
        <v>28</v>
      </c>
      <c r="C17" s="7">
        <v>1630</v>
      </c>
      <c r="D17" s="7">
        <v>1745</v>
      </c>
      <c r="E17" s="7">
        <v>1825</v>
      </c>
      <c r="F17">
        <f t="shared" si="0"/>
        <v>11.963190184049079</v>
      </c>
      <c r="G17">
        <f t="shared" si="1"/>
        <v>4.5845272206303722</v>
      </c>
      <c r="H17">
        <f t="shared" si="2"/>
        <v>1.7900229515271593</v>
      </c>
      <c r="I17" s="8">
        <f t="shared" si="3"/>
        <v>195</v>
      </c>
    </row>
    <row r="18" spans="1:9" x14ac:dyDescent="0.4">
      <c r="A18" t="s">
        <v>65</v>
      </c>
      <c r="B18" s="4" t="s">
        <v>62</v>
      </c>
      <c r="C18" s="7">
        <v>3980</v>
      </c>
      <c r="D18" s="7">
        <v>4000</v>
      </c>
      <c r="E18" s="7">
        <v>4260</v>
      </c>
      <c r="F18">
        <f t="shared" si="0"/>
        <v>7.0351758793969852</v>
      </c>
      <c r="G18">
        <f t="shared" si="1"/>
        <v>6.5</v>
      </c>
      <c r="H18">
        <f t="shared" si="2"/>
        <v>4.1783549443866841</v>
      </c>
      <c r="I18" s="8">
        <f t="shared" si="3"/>
        <v>280</v>
      </c>
    </row>
    <row r="19" spans="1:9" ht="17" customHeight="1" x14ac:dyDescent="0.4">
      <c r="A19" t="s">
        <v>65</v>
      </c>
      <c r="B19" s="4" t="s">
        <v>63</v>
      </c>
      <c r="C19" s="7">
        <v>2745</v>
      </c>
      <c r="D19" s="7">
        <v>2940</v>
      </c>
      <c r="E19" s="7">
        <v>3150</v>
      </c>
      <c r="F19">
        <f t="shared" si="0"/>
        <v>14.754098360655737</v>
      </c>
      <c r="G19">
        <f t="shared" si="1"/>
        <v>7.1428571428571432</v>
      </c>
      <c r="H19">
        <f t="shared" si="2"/>
        <v>3.0896286560605764</v>
      </c>
      <c r="I19" s="8">
        <f t="shared" si="3"/>
        <v>405</v>
      </c>
    </row>
    <row r="20" spans="1:9" x14ac:dyDescent="0.4">
      <c r="A20" t="s">
        <v>65</v>
      </c>
      <c r="B20" s="4" t="s">
        <v>64</v>
      </c>
      <c r="C20" s="7">
        <v>3765</v>
      </c>
      <c r="D20" s="7">
        <v>3740</v>
      </c>
      <c r="E20" s="7">
        <v>4015</v>
      </c>
      <c r="F20">
        <f t="shared" si="0"/>
        <v>6.6401062416998675</v>
      </c>
      <c r="G20">
        <f t="shared" si="1"/>
        <v>7.3529411764705879</v>
      </c>
      <c r="H20">
        <f t="shared" si="2"/>
        <v>3.9380504933597504</v>
      </c>
      <c r="I20" s="8">
        <f t="shared" si="3"/>
        <v>250</v>
      </c>
    </row>
    <row r="21" spans="1:9" x14ac:dyDescent="0.4">
      <c r="A21" t="s">
        <v>70</v>
      </c>
      <c r="B21" s="4" t="s">
        <v>49</v>
      </c>
      <c r="C21" s="7">
        <v>97900</v>
      </c>
      <c r="D21" s="7">
        <v>98635</v>
      </c>
      <c r="E21" s="7">
        <v>90260</v>
      </c>
      <c r="F21">
        <f t="shared" si="0"/>
        <v>-7.8038815117466802</v>
      </c>
      <c r="G21">
        <f t="shared" si="1"/>
        <v>-8.4909007958635367</v>
      </c>
      <c r="H21">
        <f>100*E21/1827825</f>
        <v>4.9381095017301986</v>
      </c>
      <c r="I21" s="8">
        <f t="shared" si="3"/>
        <v>-7640</v>
      </c>
    </row>
    <row r="22" spans="1:9" x14ac:dyDescent="0.4">
      <c r="A22" t="s">
        <v>70</v>
      </c>
      <c r="B22" s="4" t="s">
        <v>50</v>
      </c>
      <c r="C22" s="7">
        <v>645</v>
      </c>
      <c r="D22" s="7">
        <v>700</v>
      </c>
      <c r="E22" s="7">
        <v>650</v>
      </c>
      <c r="F22">
        <f t="shared" si="0"/>
        <v>0.77519379844961245</v>
      </c>
      <c r="G22">
        <f t="shared" si="1"/>
        <v>-7.1428571428571432</v>
      </c>
      <c r="H22">
        <f t="shared" ref="H22:H39" si="4">100*E22/1827825</f>
        <v>3.556139127104619E-2</v>
      </c>
      <c r="I22" s="8">
        <f t="shared" si="3"/>
        <v>5</v>
      </c>
    </row>
    <row r="23" spans="1:9" x14ac:dyDescent="0.4">
      <c r="A23" t="s">
        <v>70</v>
      </c>
      <c r="B23" s="4" t="s">
        <v>26</v>
      </c>
      <c r="C23" s="7">
        <v>99840</v>
      </c>
      <c r="D23" s="7">
        <v>103805</v>
      </c>
      <c r="E23" s="7">
        <v>97325</v>
      </c>
      <c r="F23">
        <f t="shared" si="0"/>
        <v>-2.5190304487179489</v>
      </c>
      <c r="G23">
        <f t="shared" si="1"/>
        <v>-6.2424738692741197</v>
      </c>
      <c r="H23">
        <f t="shared" si="4"/>
        <v>5.3246344699301078</v>
      </c>
      <c r="I23" s="8">
        <f t="shared" si="3"/>
        <v>-2515</v>
      </c>
    </row>
    <row r="24" spans="1:9" x14ac:dyDescent="0.4">
      <c r="A24" t="s">
        <v>70</v>
      </c>
      <c r="B24" s="4" t="s">
        <v>51</v>
      </c>
      <c r="C24" s="7">
        <v>1910</v>
      </c>
      <c r="D24" s="7">
        <v>2550</v>
      </c>
      <c r="E24" s="7">
        <v>3230</v>
      </c>
      <c r="F24">
        <f t="shared" si="0"/>
        <v>69.109947643979055</v>
      </c>
      <c r="G24">
        <f t="shared" si="1"/>
        <v>26.666666666666668</v>
      </c>
      <c r="H24">
        <f t="shared" si="4"/>
        <v>0.17671275970073722</v>
      </c>
      <c r="I24" s="8">
        <f t="shared" si="3"/>
        <v>1320</v>
      </c>
    </row>
    <row r="25" spans="1:9" x14ac:dyDescent="0.4">
      <c r="A25" t="s">
        <v>70</v>
      </c>
      <c r="B25" s="4" t="s">
        <v>52</v>
      </c>
      <c r="C25" s="7">
        <v>5335</v>
      </c>
      <c r="D25" s="7">
        <v>6005</v>
      </c>
      <c r="E25" s="7">
        <v>6590</v>
      </c>
      <c r="F25">
        <f t="shared" si="0"/>
        <v>23.523898781630741</v>
      </c>
      <c r="G25">
        <f t="shared" si="1"/>
        <v>9.7418817651956697</v>
      </c>
      <c r="H25">
        <f t="shared" si="4"/>
        <v>0.36053779765568367</v>
      </c>
      <c r="I25" s="8">
        <f t="shared" si="3"/>
        <v>1255</v>
      </c>
    </row>
    <row r="26" spans="1:9" x14ac:dyDescent="0.4">
      <c r="A26" t="s">
        <v>70</v>
      </c>
      <c r="B26" s="4" t="s">
        <v>27</v>
      </c>
      <c r="C26" s="7">
        <v>205725</v>
      </c>
      <c r="D26" s="7">
        <v>248795</v>
      </c>
      <c r="E26" s="7">
        <v>273800</v>
      </c>
      <c r="F26">
        <f t="shared" si="0"/>
        <v>33.090290436262002</v>
      </c>
      <c r="G26">
        <f t="shared" si="1"/>
        <v>10.050443135915112</v>
      </c>
      <c r="H26">
        <f t="shared" si="4"/>
        <v>14.979552200019148</v>
      </c>
      <c r="I26" s="8">
        <f t="shared" si="3"/>
        <v>68075</v>
      </c>
    </row>
    <row r="27" spans="1:9" x14ac:dyDescent="0.4">
      <c r="A27" t="s">
        <v>70</v>
      </c>
      <c r="B27" s="4" t="s">
        <v>53</v>
      </c>
      <c r="C27" s="7">
        <v>260875</v>
      </c>
      <c r="D27" s="7">
        <v>270935</v>
      </c>
      <c r="E27" s="7">
        <v>273410</v>
      </c>
      <c r="F27">
        <f t="shared" si="0"/>
        <v>4.8049832295160515</v>
      </c>
      <c r="G27">
        <f t="shared" si="1"/>
        <v>0.91350323878421025</v>
      </c>
      <c r="H27">
        <f t="shared" si="4"/>
        <v>14.958215365256521</v>
      </c>
      <c r="I27" s="8">
        <f t="shared" si="3"/>
        <v>12535</v>
      </c>
    </row>
    <row r="28" spans="1:9" x14ac:dyDescent="0.4">
      <c r="A28" t="s">
        <v>70</v>
      </c>
      <c r="B28" s="4" t="s">
        <v>54</v>
      </c>
      <c r="C28" s="7">
        <v>62820</v>
      </c>
      <c r="D28" s="7">
        <v>93920</v>
      </c>
      <c r="E28" s="7">
        <v>83795</v>
      </c>
      <c r="F28">
        <f t="shared" si="0"/>
        <v>33.389048073861829</v>
      </c>
      <c r="G28">
        <f t="shared" si="1"/>
        <v>-10.780451448040886</v>
      </c>
      <c r="H28">
        <f t="shared" si="4"/>
        <v>4.5844104331651003</v>
      </c>
      <c r="I28" s="8">
        <f t="shared" si="3"/>
        <v>20975</v>
      </c>
    </row>
    <row r="29" spans="1:9" x14ac:dyDescent="0.4">
      <c r="A29" t="s">
        <v>70</v>
      </c>
      <c r="B29" s="4" t="s">
        <v>55</v>
      </c>
      <c r="C29" s="7">
        <v>99665</v>
      </c>
      <c r="D29" s="7">
        <v>109795</v>
      </c>
      <c r="E29" s="7">
        <v>118505</v>
      </c>
      <c r="F29">
        <f t="shared" si="0"/>
        <v>18.903326142577637</v>
      </c>
      <c r="G29">
        <f t="shared" si="1"/>
        <v>7.9329659820574712</v>
      </c>
      <c r="H29">
        <f t="shared" si="4"/>
        <v>6.4833887270389674</v>
      </c>
      <c r="I29" s="8">
        <f t="shared" si="3"/>
        <v>18840</v>
      </c>
    </row>
    <row r="30" spans="1:9" x14ac:dyDescent="0.4">
      <c r="A30" t="s">
        <v>70</v>
      </c>
      <c r="B30" s="4" t="s">
        <v>56</v>
      </c>
      <c r="C30" s="7">
        <v>119320</v>
      </c>
      <c r="D30" s="7">
        <v>136035</v>
      </c>
      <c r="E30" s="7">
        <v>111740</v>
      </c>
      <c r="F30">
        <f t="shared" si="0"/>
        <v>-6.3526651022460614</v>
      </c>
      <c r="G30">
        <f t="shared" si="1"/>
        <v>-17.859374425699269</v>
      </c>
      <c r="H30">
        <f t="shared" si="4"/>
        <v>6.1132767086564632</v>
      </c>
      <c r="I30" s="8">
        <f t="shared" si="3"/>
        <v>-7580</v>
      </c>
    </row>
    <row r="31" spans="1:9" x14ac:dyDescent="0.4">
      <c r="A31" t="s">
        <v>70</v>
      </c>
      <c r="B31" s="4" t="s">
        <v>57</v>
      </c>
      <c r="C31" s="7">
        <v>31280</v>
      </c>
      <c r="D31" s="7">
        <v>39675</v>
      </c>
      <c r="E31" s="7">
        <v>35100</v>
      </c>
      <c r="F31">
        <f t="shared" si="0"/>
        <v>12.212276214833759</v>
      </c>
      <c r="G31">
        <f t="shared" si="1"/>
        <v>-11.531190926275993</v>
      </c>
      <c r="H31">
        <f t="shared" si="4"/>
        <v>1.9203151286364941</v>
      </c>
      <c r="I31" s="8">
        <f t="shared" si="3"/>
        <v>3820</v>
      </c>
    </row>
    <row r="32" spans="1:9" x14ac:dyDescent="0.4">
      <c r="A32" t="s">
        <v>70</v>
      </c>
      <c r="B32" s="4" t="s">
        <v>58</v>
      </c>
      <c r="C32" s="7">
        <v>57065</v>
      </c>
      <c r="D32" s="7">
        <v>65700</v>
      </c>
      <c r="E32" s="7">
        <v>78270</v>
      </c>
      <c r="F32">
        <f t="shared" si="0"/>
        <v>37.159379654779634</v>
      </c>
      <c r="G32">
        <f t="shared" si="1"/>
        <v>19.1324200913242</v>
      </c>
      <c r="H32">
        <f t="shared" si="4"/>
        <v>4.2821386073612082</v>
      </c>
      <c r="I32" s="8">
        <f t="shared" si="3"/>
        <v>21205</v>
      </c>
    </row>
    <row r="33" spans="1:12" x14ac:dyDescent="0.4">
      <c r="A33" t="s">
        <v>70</v>
      </c>
      <c r="B33" s="4" t="s">
        <v>59</v>
      </c>
      <c r="C33" s="7">
        <v>281210</v>
      </c>
      <c r="D33" s="7">
        <v>298150</v>
      </c>
      <c r="E33" s="7">
        <v>269260</v>
      </c>
      <c r="F33">
        <f t="shared" si="0"/>
        <v>-4.2494932612638241</v>
      </c>
      <c r="G33">
        <f t="shared" si="1"/>
        <v>-9.689753479792051</v>
      </c>
      <c r="H33">
        <f t="shared" si="4"/>
        <v>14.731169559449071</v>
      </c>
      <c r="I33" s="8">
        <f t="shared" si="3"/>
        <v>-11950</v>
      </c>
    </row>
    <row r="34" spans="1:12" x14ac:dyDescent="0.4">
      <c r="A34" t="s">
        <v>70</v>
      </c>
      <c r="B34" s="4" t="s">
        <v>60</v>
      </c>
      <c r="C34" s="7">
        <v>130400</v>
      </c>
      <c r="D34" s="7">
        <v>159425</v>
      </c>
      <c r="E34" s="7">
        <v>149570</v>
      </c>
      <c r="F34">
        <f t="shared" si="0"/>
        <v>14.700920245398773</v>
      </c>
      <c r="G34">
        <f t="shared" si="1"/>
        <v>-6.1815900893837226</v>
      </c>
      <c r="H34">
        <f t="shared" si="4"/>
        <v>8.1829496806313511</v>
      </c>
      <c r="I34" s="8">
        <f t="shared" si="3"/>
        <v>19170</v>
      </c>
      <c r="L34" s="8"/>
    </row>
    <row r="35" spans="1:12" x14ac:dyDescent="0.4">
      <c r="A35" t="s">
        <v>70</v>
      </c>
      <c r="B35" s="4" t="s">
        <v>61</v>
      </c>
      <c r="C35" s="7">
        <v>20</v>
      </c>
      <c r="D35" s="7">
        <v>15</v>
      </c>
      <c r="E35" s="7">
        <v>45</v>
      </c>
      <c r="F35">
        <f t="shared" si="0"/>
        <v>125</v>
      </c>
      <c r="G35">
        <f t="shared" si="1"/>
        <v>200</v>
      </c>
      <c r="H35">
        <f t="shared" si="4"/>
        <v>2.46194247261089E-3</v>
      </c>
      <c r="I35" s="8">
        <f t="shared" si="3"/>
        <v>25</v>
      </c>
    </row>
    <row r="36" spans="1:12" x14ac:dyDescent="0.4">
      <c r="A36" t="s">
        <v>70</v>
      </c>
      <c r="B36" s="4" t="s">
        <v>28</v>
      </c>
      <c r="C36" s="7">
        <v>26270</v>
      </c>
      <c r="D36" s="7">
        <v>29030</v>
      </c>
      <c r="E36" s="7">
        <v>31120</v>
      </c>
      <c r="F36">
        <f t="shared" si="0"/>
        <v>18.462124095926914</v>
      </c>
      <c r="G36">
        <f t="shared" si="1"/>
        <v>7.1994488460213573</v>
      </c>
      <c r="H36">
        <f t="shared" si="4"/>
        <v>1.7025699943922421</v>
      </c>
      <c r="I36" s="8">
        <f t="shared" si="3"/>
        <v>4850</v>
      </c>
    </row>
    <row r="37" spans="1:12" x14ac:dyDescent="0.4">
      <c r="A37" t="s">
        <v>70</v>
      </c>
      <c r="B37" s="4" t="s">
        <v>62</v>
      </c>
      <c r="C37" s="7">
        <v>71760</v>
      </c>
      <c r="D37" s="7">
        <v>70765</v>
      </c>
      <c r="E37" s="7">
        <v>80270</v>
      </c>
      <c r="F37">
        <f t="shared" si="0"/>
        <v>11.858974358974359</v>
      </c>
      <c r="G37">
        <f t="shared" si="1"/>
        <v>13.431781247791987</v>
      </c>
      <c r="H37">
        <f t="shared" si="4"/>
        <v>4.3915582728105811</v>
      </c>
      <c r="I37" s="8">
        <f t="shared" si="3"/>
        <v>8510</v>
      </c>
    </row>
    <row r="38" spans="1:12" x14ac:dyDescent="0.4">
      <c r="A38" t="s">
        <v>70</v>
      </c>
      <c r="B38" s="4" t="s">
        <v>63</v>
      </c>
      <c r="C38" s="7">
        <v>37475</v>
      </c>
      <c r="D38" s="7">
        <v>42920</v>
      </c>
      <c r="E38" s="7">
        <v>47645</v>
      </c>
      <c r="F38">
        <f t="shared" si="0"/>
        <v>27.138092061374248</v>
      </c>
      <c r="G38">
        <f t="shared" si="1"/>
        <v>11.008853681267475</v>
      </c>
      <c r="H38">
        <f t="shared" si="4"/>
        <v>2.6066499801676857</v>
      </c>
      <c r="I38" s="8">
        <f t="shared" si="3"/>
        <v>10170</v>
      </c>
    </row>
    <row r="39" spans="1:12" x14ac:dyDescent="0.4">
      <c r="A39" t="s">
        <v>70</v>
      </c>
      <c r="B39" s="4" t="s">
        <v>64</v>
      </c>
      <c r="C39" s="7">
        <v>71790</v>
      </c>
      <c r="D39" s="7">
        <v>72280</v>
      </c>
      <c r="E39" s="7">
        <v>77235</v>
      </c>
      <c r="F39">
        <f t="shared" si="0"/>
        <v>7.584621813623067</v>
      </c>
      <c r="G39">
        <f t="shared" si="1"/>
        <v>6.8552850027670171</v>
      </c>
      <c r="H39">
        <f t="shared" si="4"/>
        <v>4.2255139304911573</v>
      </c>
      <c r="I39" s="8">
        <f t="shared" si="3"/>
        <v>5445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Ashby</dc:creator>
  <cp:lastModifiedBy>Dooter Ior</cp:lastModifiedBy>
  <dcterms:created xsi:type="dcterms:W3CDTF">2026-01-16T16:30:10Z</dcterms:created>
  <dcterms:modified xsi:type="dcterms:W3CDTF">2026-03-11T16:58:45Z</dcterms:modified>
</cp:coreProperties>
</file>