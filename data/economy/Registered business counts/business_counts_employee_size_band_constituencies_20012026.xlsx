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Volumes/files/IPR/Centres/Brunel Centre/Economy - Registered_Business_Counts/"/>
    </mc:Choice>
  </mc:AlternateContent>
  <xr:revisionPtr revIDLastSave="0" documentId="13_ncr:1_{377F53CF-22A4-EE41-B3E6-01C0AD585B60}" xr6:coauthVersionLast="47" xr6:coauthVersionMax="47" xr10:uidLastSave="{00000000-0000-0000-0000-000000000000}"/>
  <bookViews>
    <workbookView xWindow="-6060" yWindow="-21100" windowWidth="38000" windowHeight="20700" activeTab="2" xr2:uid="{F3838E48-33B6-3E4D-ABD2-7FEC8AC3400F}"/>
  </bookViews>
  <sheets>
    <sheet name="Metadata" sheetId="2" r:id="rId1"/>
    <sheet name="Data" sheetId="3" r:id="rId2"/>
    <sheet name="Analysis"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 i="1" l="1"/>
  <c r="S3" i="1"/>
  <c r="T3" i="1"/>
  <c r="U3" i="1"/>
  <c r="V3" i="1"/>
  <c r="W3" i="1"/>
  <c r="X3" i="1"/>
  <c r="Y3" i="1"/>
  <c r="Z3" i="1"/>
  <c r="AA3" i="1"/>
  <c r="AB3" i="1"/>
  <c r="AC3" i="1"/>
  <c r="AD3" i="1"/>
  <c r="R4" i="1"/>
  <c r="S4" i="1"/>
  <c r="T4" i="1"/>
  <c r="U4" i="1"/>
  <c r="V4" i="1"/>
  <c r="W4" i="1"/>
  <c r="X4" i="1"/>
  <c r="Y4" i="1"/>
  <c r="Z4" i="1"/>
  <c r="AA4" i="1"/>
  <c r="AB4" i="1"/>
  <c r="AC4" i="1"/>
  <c r="AD4" i="1"/>
  <c r="R5" i="1"/>
  <c r="S5" i="1"/>
  <c r="T5" i="1"/>
  <c r="U5" i="1"/>
  <c r="V5" i="1"/>
  <c r="W5" i="1"/>
  <c r="X5" i="1"/>
  <c r="Y5" i="1"/>
  <c r="Z5" i="1"/>
  <c r="AA5" i="1"/>
  <c r="AB5" i="1"/>
  <c r="AC5" i="1"/>
  <c r="AD5" i="1"/>
  <c r="R6" i="1"/>
  <c r="S6" i="1"/>
  <c r="T6" i="1"/>
  <c r="U6" i="1"/>
  <c r="V6" i="1"/>
  <c r="W6" i="1"/>
  <c r="X6" i="1"/>
  <c r="Y6" i="1"/>
  <c r="Z6" i="1"/>
  <c r="AA6" i="1"/>
  <c r="AB6" i="1"/>
  <c r="AC6" i="1"/>
  <c r="AD6" i="1"/>
  <c r="R7" i="1"/>
  <c r="S7" i="1"/>
  <c r="T7" i="1"/>
  <c r="U7" i="1"/>
  <c r="V7" i="1"/>
  <c r="W7" i="1"/>
  <c r="X7" i="1"/>
  <c r="Y7" i="1"/>
  <c r="Z7" i="1"/>
  <c r="AA7" i="1"/>
  <c r="AB7" i="1"/>
  <c r="AC7" i="1"/>
  <c r="AD7" i="1"/>
  <c r="R8" i="1"/>
  <c r="S8" i="1"/>
  <c r="T8" i="1"/>
  <c r="U8" i="1"/>
  <c r="V8" i="1"/>
  <c r="W8" i="1"/>
  <c r="X8" i="1"/>
  <c r="Y8" i="1"/>
  <c r="Z8" i="1"/>
  <c r="AA8" i="1"/>
  <c r="AB8" i="1"/>
  <c r="AC8" i="1"/>
  <c r="AD8" i="1"/>
  <c r="R9" i="1"/>
  <c r="S9" i="1"/>
  <c r="T9" i="1"/>
  <c r="U9" i="1"/>
  <c r="V9" i="1"/>
  <c r="W9" i="1"/>
  <c r="X9" i="1"/>
  <c r="Y9" i="1"/>
  <c r="Z9" i="1"/>
  <c r="AA9" i="1"/>
  <c r="AB9" i="1"/>
  <c r="AC9" i="1"/>
  <c r="AD9" i="1"/>
  <c r="R10" i="1"/>
  <c r="S10" i="1"/>
  <c r="T10" i="1"/>
  <c r="U10" i="1"/>
  <c r="V10" i="1"/>
  <c r="W10" i="1"/>
  <c r="X10" i="1"/>
  <c r="Y10" i="1"/>
  <c r="Z10" i="1"/>
  <c r="AA10" i="1"/>
  <c r="AB10" i="1"/>
  <c r="AC10" i="1"/>
  <c r="AD10" i="1"/>
  <c r="R11" i="1"/>
  <c r="S11" i="1"/>
  <c r="T11" i="1"/>
  <c r="U11" i="1"/>
  <c r="V11" i="1"/>
  <c r="W11" i="1"/>
  <c r="X11" i="1"/>
  <c r="Y11" i="1"/>
  <c r="Z11" i="1"/>
  <c r="AA11" i="1"/>
  <c r="AB11" i="1"/>
  <c r="AC11" i="1"/>
  <c r="AD11" i="1"/>
  <c r="R12" i="1"/>
  <c r="S12" i="1"/>
  <c r="T12" i="1"/>
  <c r="U12" i="1"/>
  <c r="V12" i="1"/>
  <c r="W12" i="1"/>
  <c r="X12" i="1"/>
  <c r="Y12" i="1"/>
  <c r="Z12" i="1"/>
  <c r="AA12" i="1"/>
  <c r="AB12" i="1"/>
  <c r="AC12" i="1"/>
  <c r="AD12" i="1"/>
  <c r="R13" i="1"/>
  <c r="S13" i="1"/>
  <c r="T13" i="1"/>
  <c r="U13" i="1"/>
  <c r="V13" i="1"/>
  <c r="W13" i="1"/>
  <c r="X13" i="1"/>
  <c r="Y13" i="1"/>
  <c r="Z13" i="1"/>
  <c r="AA13" i="1"/>
  <c r="AB13" i="1"/>
  <c r="AC13" i="1"/>
  <c r="AD13" i="1"/>
  <c r="R14" i="1"/>
  <c r="S14" i="1"/>
  <c r="T14" i="1"/>
  <c r="U14" i="1"/>
  <c r="V14" i="1"/>
  <c r="W14" i="1"/>
  <c r="X14" i="1"/>
  <c r="Y14" i="1"/>
  <c r="Z14" i="1"/>
  <c r="AA14" i="1"/>
  <c r="AB14" i="1"/>
  <c r="AC14" i="1"/>
  <c r="AD14" i="1"/>
  <c r="R15" i="1"/>
  <c r="S15" i="1"/>
  <c r="T15" i="1"/>
  <c r="U15" i="1"/>
  <c r="V15" i="1"/>
  <c r="W15" i="1"/>
  <c r="X15" i="1"/>
  <c r="Y15" i="1"/>
  <c r="Z15" i="1"/>
  <c r="AA15" i="1"/>
  <c r="AB15" i="1"/>
  <c r="AC15" i="1"/>
  <c r="AD15" i="1"/>
  <c r="R16" i="1"/>
  <c r="S16" i="1"/>
  <c r="T16" i="1"/>
  <c r="U16" i="1"/>
  <c r="V16" i="1"/>
  <c r="W16" i="1"/>
  <c r="X16" i="1"/>
  <c r="Y16" i="1"/>
  <c r="Z16" i="1"/>
  <c r="AA16" i="1"/>
  <c r="AB16" i="1"/>
  <c r="AC16" i="1"/>
  <c r="AD16" i="1"/>
  <c r="R17" i="1"/>
  <c r="S17" i="1"/>
  <c r="T17" i="1"/>
  <c r="U17" i="1"/>
  <c r="V17" i="1"/>
  <c r="W17" i="1"/>
  <c r="X17" i="1"/>
  <c r="Y17" i="1"/>
  <c r="Z17" i="1"/>
  <c r="AA17" i="1"/>
  <c r="AB17" i="1"/>
  <c r="AC17" i="1"/>
  <c r="AD17" i="1"/>
  <c r="R18" i="1"/>
  <c r="S18" i="1"/>
  <c r="T18" i="1"/>
  <c r="U18" i="1"/>
  <c r="V18" i="1"/>
  <c r="W18" i="1"/>
  <c r="X18" i="1"/>
  <c r="Y18" i="1"/>
  <c r="Z18" i="1"/>
  <c r="AA18" i="1"/>
  <c r="AB18" i="1"/>
  <c r="AC18" i="1"/>
  <c r="AD18" i="1"/>
  <c r="R19" i="1"/>
  <c r="S19" i="1"/>
  <c r="T19" i="1"/>
  <c r="U19" i="1"/>
  <c r="V19" i="1"/>
  <c r="W19" i="1"/>
  <c r="X19" i="1"/>
  <c r="Y19" i="1"/>
  <c r="Z19" i="1"/>
  <c r="AA19" i="1"/>
  <c r="AB19" i="1"/>
  <c r="AC19" i="1"/>
  <c r="AD19" i="1"/>
  <c r="R20" i="1"/>
  <c r="S20" i="1"/>
  <c r="T20" i="1"/>
  <c r="U20" i="1"/>
  <c r="V20" i="1"/>
  <c r="W20" i="1"/>
  <c r="X20" i="1"/>
  <c r="Y20" i="1"/>
  <c r="Z20" i="1"/>
  <c r="AA20" i="1"/>
  <c r="AB20" i="1"/>
  <c r="AC20" i="1"/>
  <c r="AD20" i="1"/>
  <c r="R21" i="1"/>
  <c r="S21" i="1"/>
  <c r="T21" i="1"/>
  <c r="U21" i="1"/>
  <c r="V21" i="1"/>
  <c r="W21" i="1"/>
  <c r="X21" i="1"/>
  <c r="Y21" i="1"/>
  <c r="Z21" i="1"/>
  <c r="AA21" i="1"/>
  <c r="AB21" i="1"/>
  <c r="AC21" i="1"/>
  <c r="AD21" i="1"/>
  <c r="R22" i="1"/>
  <c r="S22" i="1"/>
  <c r="T22" i="1"/>
  <c r="U22" i="1"/>
  <c r="V22" i="1"/>
  <c r="W22" i="1"/>
  <c r="X22" i="1"/>
  <c r="Y22" i="1"/>
  <c r="Z22" i="1"/>
  <c r="AA22" i="1"/>
  <c r="AB22" i="1"/>
  <c r="AC22" i="1"/>
  <c r="AD22" i="1"/>
  <c r="R23" i="1"/>
  <c r="S23" i="1"/>
  <c r="T23" i="1"/>
  <c r="U23" i="1"/>
  <c r="V23" i="1"/>
  <c r="W23" i="1"/>
  <c r="X23" i="1"/>
  <c r="Y23" i="1"/>
  <c r="Z23" i="1"/>
  <c r="AA23" i="1"/>
  <c r="AB23" i="1"/>
  <c r="AC23" i="1"/>
  <c r="AD23" i="1"/>
  <c r="R24" i="1"/>
  <c r="S24" i="1"/>
  <c r="T24" i="1"/>
  <c r="U24" i="1"/>
  <c r="V24" i="1"/>
  <c r="W24" i="1"/>
  <c r="X24" i="1"/>
  <c r="Y24" i="1"/>
  <c r="Z24" i="1"/>
  <c r="AA24" i="1"/>
  <c r="AB24" i="1"/>
  <c r="AC24" i="1"/>
  <c r="AD24" i="1"/>
  <c r="R25" i="1"/>
  <c r="S25" i="1"/>
  <c r="T25" i="1"/>
  <c r="U25" i="1"/>
  <c r="V25" i="1"/>
  <c r="W25" i="1"/>
  <c r="X25" i="1"/>
  <c r="Y25" i="1"/>
  <c r="Z25" i="1"/>
  <c r="AA25" i="1"/>
  <c r="AB25" i="1"/>
  <c r="AC25" i="1"/>
  <c r="AD25" i="1"/>
  <c r="R26" i="1"/>
  <c r="S26" i="1"/>
  <c r="T26" i="1"/>
  <c r="U26" i="1"/>
  <c r="V26" i="1"/>
  <c r="W26" i="1"/>
  <c r="X26" i="1"/>
  <c r="Y26" i="1"/>
  <c r="Z26" i="1"/>
  <c r="AA26" i="1"/>
  <c r="AB26" i="1"/>
  <c r="AC26" i="1"/>
  <c r="AD26" i="1"/>
  <c r="R27" i="1"/>
  <c r="S27" i="1"/>
  <c r="T27" i="1"/>
  <c r="U27" i="1"/>
  <c r="V27" i="1"/>
  <c r="W27" i="1"/>
  <c r="X27" i="1"/>
  <c r="Y27" i="1"/>
  <c r="Z27" i="1"/>
  <c r="AA27" i="1"/>
  <c r="AB27" i="1"/>
  <c r="AC27" i="1"/>
  <c r="AD27" i="1"/>
  <c r="R28" i="1"/>
  <c r="S28" i="1"/>
  <c r="T28" i="1"/>
  <c r="U28" i="1"/>
  <c r="V28" i="1"/>
  <c r="W28" i="1"/>
  <c r="X28" i="1"/>
  <c r="Y28" i="1"/>
  <c r="Z28" i="1"/>
  <c r="AA28" i="1"/>
  <c r="AB28" i="1"/>
  <c r="AC28" i="1"/>
  <c r="AD28" i="1"/>
  <c r="AD2" i="1"/>
  <c r="AC2" i="1"/>
  <c r="AB2" i="1"/>
  <c r="AA2" i="1"/>
  <c r="Z2" i="1"/>
  <c r="Y2" i="1"/>
  <c r="X2" i="1"/>
  <c r="W2" i="1"/>
  <c r="V2" i="1"/>
  <c r="U2" i="1"/>
  <c r="T2" i="1"/>
  <c r="S2" i="1"/>
  <c r="R2" i="1"/>
</calcChain>
</file>

<file path=xl/sharedStrings.xml><?xml version="1.0" encoding="utf-8"?>
<sst xmlns="http://schemas.openxmlformats.org/spreadsheetml/2006/main" count="155" uniqueCount="99">
  <si>
    <t>date</t>
  </si>
  <si>
    <t>geography</t>
  </si>
  <si>
    <t>geography_type</t>
  </si>
  <si>
    <t>North Somerset</t>
  </si>
  <si>
    <t>total</t>
  </si>
  <si>
    <t>Micro_0_to_9</t>
  </si>
  <si>
    <t>0_to_4</t>
  </si>
  <si>
    <t>5_to_9</t>
  </si>
  <si>
    <t>Small_10_to_49</t>
  </si>
  <si>
    <t>10_to_19</t>
  </si>
  <si>
    <t>20_to_49</t>
  </si>
  <si>
    <t>Medium_50_to_249</t>
  </si>
  <si>
    <t>50_to_99</t>
  </si>
  <si>
    <t>100_to_249</t>
  </si>
  <si>
    <t>Large_250_plus</t>
  </si>
  <si>
    <t>250_to_499</t>
  </si>
  <si>
    <t>500_to_999</t>
  </si>
  <si>
    <t>1000_plus</t>
  </si>
  <si>
    <t>Publisher</t>
  </si>
  <si>
    <t>ONS dataset</t>
  </si>
  <si>
    <t>ONS tables</t>
  </si>
  <si>
    <t>ONS publication date</t>
  </si>
  <si>
    <t>Next ONS update</t>
  </si>
  <si>
    <t>ONS link</t>
  </si>
  <si>
    <t>Created date</t>
  </si>
  <si>
    <t>Last updated</t>
  </si>
  <si>
    <t>Geography used for analysis</t>
  </si>
  <si>
    <t xml:space="preserve">Aggregation method  </t>
  </si>
  <si>
    <t>Data information:</t>
  </si>
  <si>
    <t>Office for National Statistics (ONS)</t>
  </si>
  <si>
    <t>Autumn 26</t>
  </si>
  <si>
    <t>https://www.nomisweb.co.uk/datasets/idbrent</t>
  </si>
  <si>
    <t>Aggregated by NOMIS</t>
  </si>
  <si>
    <t>An extract compiled from the Inter Departmental Business Register (IDBR) recording the number of Enterprises that were live at a reference date in March, broken down by employment size band, detailed industry (5 digit SIC2007) and legal status. An Enterprise is the smallest combination of legal units which has a certain degree of autonomy within an Enterprise Group. Available from country down to mid layer super output area and Scottish intermediate zones.</t>
  </si>
  <si>
    <t>0_to_4_percent</t>
  </si>
  <si>
    <t>5_to_9_percent</t>
  </si>
  <si>
    <t>Small_10_to_49_percent</t>
  </si>
  <si>
    <t>10_to_19_percent</t>
  </si>
  <si>
    <t>20_to_49_percent</t>
  </si>
  <si>
    <t>Medium_50_to_249_percent</t>
  </si>
  <si>
    <t>50_to_99_percent</t>
  </si>
  <si>
    <t>100_to_249_percent</t>
  </si>
  <si>
    <t>Large_250_plus_percent</t>
  </si>
  <si>
    <t>250_to_499_percent</t>
  </si>
  <si>
    <t>500_to_999_percent</t>
  </si>
  <si>
    <t>1000_plus_percent</t>
  </si>
  <si>
    <t>Micro_0_to_9_percent</t>
  </si>
  <si>
    <t>UK Business Counts - enterprises by industry and employment size band</t>
  </si>
  <si>
    <t>industry</t>
  </si>
  <si>
    <t>Total</t>
  </si>
  <si>
    <t>legal status</t>
  </si>
  <si>
    <t>Private sector total</t>
  </si>
  <si>
    <t>All figures are rounded to avoid disclosure. Values may be rounded down to zero and so all zeros are not necessarily true zeros. Totals across tables may differ by minor amounts due to the disclosure methods used. Furthermore, figures may differ by small amounts from those published in ONS outputs due to the application of a different rounding methodology.</t>
  </si>
  <si>
    <t>In 2015, ONS extended the coverage of businesses to include a population of solely PAYE based businesses that were previously excluded because of the risk of duplication. In total, in 2015, 105,000 businesses have been added.Improvements in matching of administrative data and research into those units excluded has indicated that the risk of duplication is very small. The addition of these businesses brings the publication in line with Business Demography and the BIS Business Population Estimates, both of which include these businesses. For more information, see http://www.nomisweb.co.uk/articles/news/files/UKBusinessCoverage.pdf.</t>
  </si>
  <si>
    <t>Micro (0 to 9)</t>
  </si>
  <si>
    <t>0 to 4</t>
  </si>
  <si>
    <t>5 to 9</t>
  </si>
  <si>
    <t>Small (10 to 49)</t>
  </si>
  <si>
    <t>10 to 19</t>
  </si>
  <si>
    <t>20 to 49</t>
  </si>
  <si>
    <t>Medium-sized (50 to 249)</t>
  </si>
  <si>
    <t>50 to 99</t>
  </si>
  <si>
    <t>100 to 249</t>
  </si>
  <si>
    <t>Large (250+)</t>
  </si>
  <si>
    <t>250 to 499</t>
  </si>
  <si>
    <t>500 to 999</t>
  </si>
  <si>
    <t>1000+</t>
  </si>
  <si>
    <t>Total counts of businesses of different sizes are given as well as percentages of the total for each band.</t>
  </si>
  <si>
    <t>ONS Crown Copyright Reserved [from Nomis on 20 January 2026]</t>
  </si>
  <si>
    <t>Westminster Parliamentary Constituency (July 2024)</t>
  </si>
  <si>
    <t>Bath</t>
  </si>
  <si>
    <t>Bristol Central</t>
  </si>
  <si>
    <t>Bristol East</t>
  </si>
  <si>
    <t>Bristol North East</t>
  </si>
  <si>
    <t>Bristol North West</t>
  </si>
  <si>
    <t>Bristol South</t>
  </si>
  <si>
    <t>Cheltenham</t>
  </si>
  <si>
    <t>Chippenham</t>
  </si>
  <si>
    <t>East Wiltshire</t>
  </si>
  <si>
    <t>Filton and Bradley Stoke</t>
  </si>
  <si>
    <t>Forest of Dean</t>
  </si>
  <si>
    <t>Frome and East Somerset</t>
  </si>
  <si>
    <t>Gloucester</t>
  </si>
  <si>
    <t>Melksham and Devizes</t>
  </si>
  <si>
    <t>North Cotswolds</t>
  </si>
  <si>
    <t>North East Somerset and Hanham</t>
  </si>
  <si>
    <t>Salisbury</t>
  </si>
  <si>
    <t>South Cotswolds</t>
  </si>
  <si>
    <t>South West Wiltshire</t>
  </si>
  <si>
    <t>Stroud</t>
  </si>
  <si>
    <t>Swindon North</t>
  </si>
  <si>
    <t>Swindon South</t>
  </si>
  <si>
    <t>Tewkesbury</t>
  </si>
  <si>
    <t>Thornbury and Yate</t>
  </si>
  <si>
    <t>Wells and Mendip Hills</t>
  </si>
  <si>
    <t>Weston-super-Mare</t>
  </si>
  <si>
    <t>Column Total</t>
  </si>
  <si>
    <t>Constituencies in the Greater West of England</t>
  </si>
  <si>
    <t>CONSTITUENCY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</si>
</sst>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d\ mmmm\ yyyy;@"/>
  </numFmts>
  <fonts count="6" x14ac:knownFonts="1">
    <font>
      <sz val="12"/>
      <color theme="1"/>
      <name val="Aptos Narrow"/>
      <family val="2"/>
      <scheme val="minor"/>
    </font>
    <font>
      <b/>
      <sz val="11"/>
      <color theme="1"/>
      <name val="Aptos Narrow"/>
      <family val="2"/>
      <scheme val="minor"/>
    </font>
    <font>
      <b/>
      <sz val="12"/>
      <name val="Arial"/>
      <family val="2"/>
    </font>
    <font>
      <sz val="10"/>
      <name val="Arial"/>
      <family val="2"/>
    </font>
    <font>
      <b/>
      <sz val="10"/>
      <name val="Arial"/>
      <family val="2"/>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2">
    <xf numFmtId="0" fontId="0" fillId="0" borderId="0" xfId="0"/>
    <xf numFmtId="0" fontId="1" fillId="0" borderId="0" xfId="0" applyFont="1" applyAlignment="1">
      <alignment horizontal="left" wrapText="1"/>
    </xf>
    <xf numFmtId="164" fontId="0" fillId="0" borderId="0" xfId="0" applyNumberFormat="1"/>
    <xf numFmtId="14" fontId="0" fillId="0" borderId="0" xfId="0" applyNumberFormat="1"/>
    <xf numFmtId="0" fontId="2" fillId="0" borderId="0" xfId="0" applyFont="1" applyAlignment="1">
      <alignment horizontal="left" vertical="center"/>
    </xf>
    <xf numFmtId="0" fontId="3" fillId="0" borderId="0" xfId="0" applyFont="1"/>
    <xf numFmtId="0" fontId="3" fillId="0" borderId="0" xfId="0" applyFont="1" applyAlignment="1">
      <alignment horizontal="left"/>
    </xf>
    <xf numFmtId="0" fontId="4" fillId="0" borderId="0" xfId="0" applyFont="1" applyAlignment="1">
      <alignment horizontal="left" vertical="center" wrapText="1"/>
    </xf>
    <xf numFmtId="0" fontId="4" fillId="0" borderId="0" xfId="0" applyFont="1" applyAlignment="1">
      <alignment horizontal="center" vertical="center" wrapText="1"/>
    </xf>
    <xf numFmtId="3" fontId="3" fillId="0" borderId="0" xfId="0" applyNumberFormat="1" applyFont="1" applyAlignment="1">
      <alignment horizontal="right"/>
    </xf>
    <xf numFmtId="0" fontId="5" fillId="0" borderId="0" xfId="1"/>
    <xf numFmtId="3" fontId="4" fillId="0" borderId="0" xfId="0" applyNumberFormat="1" applyFont="1" applyAlignment="1">
      <alignment horizontal="righ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datasets/idbr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F89D-D895-144E-9321-FCBFF913ABF8}">
  <dimension ref="A1:B12"/>
  <sheetViews>
    <sheetView zoomScale="125" workbookViewId="0">
      <selection activeCell="B10" sqref="B10"/>
    </sheetView>
  </sheetViews>
  <sheetFormatPr baseColWidth="10" defaultRowHeight="16" x14ac:dyDescent="0.2"/>
  <cols>
    <col min="1" max="1" width="19.5" customWidth="1"/>
    <col min="2" max="2" width="54.5" customWidth="1"/>
  </cols>
  <sheetData>
    <row r="1" spans="1:2" x14ac:dyDescent="0.2">
      <c r="A1" s="1" t="s">
        <v>18</v>
      </c>
      <c r="B1" t="s">
        <v>29</v>
      </c>
    </row>
    <row r="2" spans="1:2" x14ac:dyDescent="0.2">
      <c r="A2" s="1" t="s">
        <v>19</v>
      </c>
      <c r="B2" t="s">
        <v>47</v>
      </c>
    </row>
    <row r="3" spans="1:2" x14ac:dyDescent="0.2">
      <c r="A3" s="1" t="s">
        <v>20</v>
      </c>
    </row>
    <row r="4" spans="1:2" x14ac:dyDescent="0.2">
      <c r="A4" s="1" t="s">
        <v>21</v>
      </c>
      <c r="B4" s="2">
        <v>45944</v>
      </c>
    </row>
    <row r="5" spans="1:2" x14ac:dyDescent="0.2">
      <c r="A5" s="1" t="s">
        <v>22</v>
      </c>
      <c r="B5" t="s">
        <v>30</v>
      </c>
    </row>
    <row r="6" spans="1:2" x14ac:dyDescent="0.2">
      <c r="A6" s="1" t="s">
        <v>23</v>
      </c>
      <c r="B6" s="10" t="s">
        <v>31</v>
      </c>
    </row>
    <row r="7" spans="1:2" x14ac:dyDescent="0.2">
      <c r="A7" s="1" t="s">
        <v>24</v>
      </c>
      <c r="B7" s="3">
        <v>46042</v>
      </c>
    </row>
    <row r="8" spans="1:2" x14ac:dyDescent="0.2">
      <c r="A8" s="1" t="s">
        <v>25</v>
      </c>
      <c r="B8" s="3">
        <v>46042</v>
      </c>
    </row>
    <row r="9" spans="1:2" ht="32" x14ac:dyDescent="0.2">
      <c r="A9" s="1" t="s">
        <v>26</v>
      </c>
      <c r="B9" t="s">
        <v>97</v>
      </c>
    </row>
    <row r="10" spans="1:2" x14ac:dyDescent="0.2">
      <c r="A10" s="1" t="s">
        <v>27</v>
      </c>
      <c r="B10" t="s">
        <v>32</v>
      </c>
    </row>
    <row r="11" spans="1:2" x14ac:dyDescent="0.2">
      <c r="A11" s="1" t="s">
        <v>28</v>
      </c>
      <c r="B11" t="s">
        <v>33</v>
      </c>
    </row>
    <row r="12" spans="1:2" x14ac:dyDescent="0.2">
      <c r="B12" t="s">
        <v>67</v>
      </c>
    </row>
  </sheetData>
  <hyperlinks>
    <hyperlink ref="B6" r:id="rId1" xr:uid="{794BDF6B-C7B9-DF4F-B1F5-2519227EFD6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31F01-CF34-B04B-8F44-AFC33149FAE8}">
  <dimension ref="A1:O418"/>
  <sheetViews>
    <sheetView topLeftCell="A8" zoomScale="151" workbookViewId="0">
      <selection activeCell="B27" sqref="B27"/>
    </sheetView>
  </sheetViews>
  <sheetFormatPr baseColWidth="10" defaultRowHeight="16" x14ac:dyDescent="0.2"/>
  <sheetData>
    <row r="1" spans="1:15" x14ac:dyDescent="0.2">
      <c r="A1" s="4" t="s">
        <v>47</v>
      </c>
    </row>
    <row r="2" spans="1:15" x14ac:dyDescent="0.2">
      <c r="A2" s="5" t="s">
        <v>68</v>
      </c>
    </row>
    <row r="4" spans="1:15" x14ac:dyDescent="0.2">
      <c r="A4" s="6" t="s">
        <v>0</v>
      </c>
      <c r="B4" s="6">
        <v>2025</v>
      </c>
    </row>
    <row r="5" spans="1:15" x14ac:dyDescent="0.2">
      <c r="A5" s="6" t="s">
        <v>48</v>
      </c>
      <c r="B5" s="6" t="s">
        <v>49</v>
      </c>
    </row>
    <row r="6" spans="1:15" x14ac:dyDescent="0.2">
      <c r="A6" s="6" t="s">
        <v>50</v>
      </c>
      <c r="B6" s="6" t="s">
        <v>51</v>
      </c>
    </row>
    <row r="8" spans="1:15" ht="98" x14ac:dyDescent="0.2">
      <c r="A8" s="7" t="s">
        <v>69</v>
      </c>
      <c r="B8" s="8" t="s">
        <v>49</v>
      </c>
      <c r="C8" s="8" t="s">
        <v>54</v>
      </c>
      <c r="D8" s="8" t="s">
        <v>55</v>
      </c>
      <c r="E8" s="8" t="s">
        <v>56</v>
      </c>
      <c r="F8" s="8" t="s">
        <v>57</v>
      </c>
      <c r="G8" s="8" t="s">
        <v>58</v>
      </c>
      <c r="H8" s="8" t="s">
        <v>59</v>
      </c>
      <c r="I8" s="8" t="s">
        <v>60</v>
      </c>
      <c r="J8" s="8" t="s">
        <v>61</v>
      </c>
      <c r="K8" s="8" t="s">
        <v>62</v>
      </c>
      <c r="L8" s="8" t="s">
        <v>63</v>
      </c>
      <c r="M8" s="8" t="s">
        <v>64</v>
      </c>
      <c r="N8" s="8" t="s">
        <v>65</v>
      </c>
      <c r="O8" s="8" t="s">
        <v>66</v>
      </c>
    </row>
    <row r="9" spans="1:15" x14ac:dyDescent="0.2">
      <c r="A9" s="6" t="s">
        <v>70</v>
      </c>
      <c r="B9" s="9">
        <v>4580</v>
      </c>
      <c r="C9" s="9">
        <v>4010</v>
      </c>
      <c r="D9" s="9">
        <v>3515</v>
      </c>
      <c r="E9" s="9">
        <v>495</v>
      </c>
      <c r="F9" s="9">
        <v>470</v>
      </c>
      <c r="G9" s="9">
        <v>305</v>
      </c>
      <c r="H9" s="9">
        <v>165</v>
      </c>
      <c r="I9" s="9">
        <v>75</v>
      </c>
      <c r="J9" s="9">
        <v>55</v>
      </c>
      <c r="K9" s="9">
        <v>20</v>
      </c>
      <c r="L9" s="9">
        <v>20</v>
      </c>
      <c r="M9" s="9">
        <v>10</v>
      </c>
      <c r="N9" s="9">
        <v>5</v>
      </c>
      <c r="O9" s="9">
        <v>5</v>
      </c>
    </row>
    <row r="10" spans="1:15" x14ac:dyDescent="0.2">
      <c r="A10" s="6" t="s">
        <v>71</v>
      </c>
      <c r="B10" s="9">
        <v>6640</v>
      </c>
      <c r="C10" s="9">
        <v>5490</v>
      </c>
      <c r="D10" s="9">
        <v>4640</v>
      </c>
      <c r="E10" s="9">
        <v>850</v>
      </c>
      <c r="F10" s="9">
        <v>910</v>
      </c>
      <c r="G10" s="9">
        <v>555</v>
      </c>
      <c r="H10" s="9">
        <v>355</v>
      </c>
      <c r="I10" s="9">
        <v>200</v>
      </c>
      <c r="J10" s="9">
        <v>130</v>
      </c>
      <c r="K10" s="9">
        <v>70</v>
      </c>
      <c r="L10" s="9">
        <v>45</v>
      </c>
      <c r="M10" s="9">
        <v>15</v>
      </c>
      <c r="N10" s="9">
        <v>10</v>
      </c>
      <c r="O10" s="9">
        <v>20</v>
      </c>
    </row>
    <row r="11" spans="1:15" x14ac:dyDescent="0.2">
      <c r="A11" s="6" t="s">
        <v>72</v>
      </c>
      <c r="B11" s="9">
        <v>3420</v>
      </c>
      <c r="C11" s="9">
        <v>2990</v>
      </c>
      <c r="D11" s="9">
        <v>2605</v>
      </c>
      <c r="E11" s="9">
        <v>385</v>
      </c>
      <c r="F11" s="9">
        <v>360</v>
      </c>
      <c r="G11" s="9">
        <v>235</v>
      </c>
      <c r="H11" s="9">
        <v>125</v>
      </c>
      <c r="I11" s="9">
        <v>55</v>
      </c>
      <c r="J11" s="9">
        <v>40</v>
      </c>
      <c r="K11" s="9">
        <v>15</v>
      </c>
      <c r="L11" s="9">
        <v>15</v>
      </c>
      <c r="M11" s="9">
        <v>5</v>
      </c>
      <c r="N11" s="9">
        <v>5</v>
      </c>
      <c r="O11" s="9">
        <v>5</v>
      </c>
    </row>
    <row r="12" spans="1:15" x14ac:dyDescent="0.2">
      <c r="A12" s="6" t="s">
        <v>73</v>
      </c>
      <c r="B12" s="9">
        <v>2635</v>
      </c>
      <c r="C12" s="9">
        <v>2405</v>
      </c>
      <c r="D12" s="9">
        <v>2120</v>
      </c>
      <c r="E12" s="9">
        <v>285</v>
      </c>
      <c r="F12" s="9">
        <v>200</v>
      </c>
      <c r="G12" s="9">
        <v>130</v>
      </c>
      <c r="H12" s="9">
        <v>70</v>
      </c>
      <c r="I12" s="9">
        <v>30</v>
      </c>
      <c r="J12" s="9">
        <v>20</v>
      </c>
      <c r="K12" s="9">
        <v>10</v>
      </c>
      <c r="L12" s="9">
        <v>5</v>
      </c>
      <c r="M12" s="9">
        <v>0</v>
      </c>
      <c r="N12" s="9">
        <v>0</v>
      </c>
      <c r="O12" s="9">
        <v>0</v>
      </c>
    </row>
    <row r="13" spans="1:15" x14ac:dyDescent="0.2">
      <c r="A13" s="6" t="s">
        <v>74</v>
      </c>
      <c r="B13" s="9">
        <v>3615</v>
      </c>
      <c r="C13" s="9">
        <v>3265</v>
      </c>
      <c r="D13" s="9">
        <v>2930</v>
      </c>
      <c r="E13" s="9">
        <v>335</v>
      </c>
      <c r="F13" s="9">
        <v>295</v>
      </c>
      <c r="G13" s="9">
        <v>190</v>
      </c>
      <c r="H13" s="9">
        <v>100</v>
      </c>
      <c r="I13" s="9">
        <v>45</v>
      </c>
      <c r="J13" s="9">
        <v>30</v>
      </c>
      <c r="K13" s="9">
        <v>15</v>
      </c>
      <c r="L13" s="9">
        <v>10</v>
      </c>
      <c r="M13" s="9">
        <v>5</v>
      </c>
      <c r="N13" s="9">
        <v>0</v>
      </c>
      <c r="O13" s="9">
        <v>0</v>
      </c>
    </row>
    <row r="14" spans="1:15" x14ac:dyDescent="0.2">
      <c r="A14" s="6" t="s">
        <v>75</v>
      </c>
      <c r="B14" s="9">
        <v>2935</v>
      </c>
      <c r="C14" s="9">
        <v>2610</v>
      </c>
      <c r="D14" s="9">
        <v>2270</v>
      </c>
      <c r="E14" s="9">
        <v>340</v>
      </c>
      <c r="F14" s="9">
        <v>275</v>
      </c>
      <c r="G14" s="9">
        <v>165</v>
      </c>
      <c r="H14" s="9">
        <v>110</v>
      </c>
      <c r="I14" s="9">
        <v>40</v>
      </c>
      <c r="J14" s="9">
        <v>30</v>
      </c>
      <c r="K14" s="9">
        <v>10</v>
      </c>
      <c r="L14" s="9">
        <v>10</v>
      </c>
      <c r="M14" s="9">
        <v>5</v>
      </c>
      <c r="N14" s="9">
        <v>0</v>
      </c>
      <c r="O14" s="9">
        <v>5</v>
      </c>
    </row>
    <row r="15" spans="1:15" x14ac:dyDescent="0.2">
      <c r="A15" s="6" t="s">
        <v>76</v>
      </c>
      <c r="B15" s="9">
        <v>4620</v>
      </c>
      <c r="C15" s="9">
        <v>4080</v>
      </c>
      <c r="D15" s="9">
        <v>3535</v>
      </c>
      <c r="E15" s="9">
        <v>545</v>
      </c>
      <c r="F15" s="9">
        <v>440</v>
      </c>
      <c r="G15" s="9">
        <v>275</v>
      </c>
      <c r="H15" s="9">
        <v>165</v>
      </c>
      <c r="I15" s="9">
        <v>80</v>
      </c>
      <c r="J15" s="9">
        <v>50</v>
      </c>
      <c r="K15" s="9">
        <v>30</v>
      </c>
      <c r="L15" s="9">
        <v>20</v>
      </c>
      <c r="M15" s="9">
        <v>15</v>
      </c>
      <c r="N15" s="9">
        <v>5</v>
      </c>
      <c r="O15" s="9">
        <v>0</v>
      </c>
    </row>
    <row r="16" spans="1:15" x14ac:dyDescent="0.2">
      <c r="A16" s="6" t="s">
        <v>77</v>
      </c>
      <c r="B16" s="9">
        <v>3690</v>
      </c>
      <c r="C16" s="9">
        <v>3280</v>
      </c>
      <c r="D16" s="9">
        <v>2855</v>
      </c>
      <c r="E16" s="9">
        <v>425</v>
      </c>
      <c r="F16" s="9">
        <v>325</v>
      </c>
      <c r="G16" s="9">
        <v>195</v>
      </c>
      <c r="H16" s="9">
        <v>130</v>
      </c>
      <c r="I16" s="9">
        <v>70</v>
      </c>
      <c r="J16" s="9">
        <v>55</v>
      </c>
      <c r="K16" s="9">
        <v>15</v>
      </c>
      <c r="L16" s="9">
        <v>15</v>
      </c>
      <c r="M16" s="9">
        <v>10</v>
      </c>
      <c r="N16" s="9">
        <v>5</v>
      </c>
      <c r="O16" s="9">
        <v>0</v>
      </c>
    </row>
    <row r="17" spans="1:15" x14ac:dyDescent="0.2">
      <c r="A17" s="6" t="s">
        <v>78</v>
      </c>
      <c r="B17" s="9">
        <v>3830</v>
      </c>
      <c r="C17" s="9">
        <v>3485</v>
      </c>
      <c r="D17" s="9">
        <v>3085</v>
      </c>
      <c r="E17" s="9">
        <v>400</v>
      </c>
      <c r="F17" s="9">
        <v>305</v>
      </c>
      <c r="G17" s="9">
        <v>210</v>
      </c>
      <c r="H17" s="9">
        <v>95</v>
      </c>
      <c r="I17" s="9">
        <v>35</v>
      </c>
      <c r="J17" s="9">
        <v>20</v>
      </c>
      <c r="K17" s="9">
        <v>10</v>
      </c>
      <c r="L17" s="9">
        <v>5</v>
      </c>
      <c r="M17" s="9">
        <v>0</v>
      </c>
      <c r="N17" s="9">
        <v>0</v>
      </c>
      <c r="O17" s="9">
        <v>0</v>
      </c>
    </row>
    <row r="18" spans="1:15" x14ac:dyDescent="0.2">
      <c r="A18" s="6" t="s">
        <v>79</v>
      </c>
      <c r="B18" s="9">
        <v>3185</v>
      </c>
      <c r="C18" s="9">
        <v>2840</v>
      </c>
      <c r="D18" s="9">
        <v>2530</v>
      </c>
      <c r="E18" s="9">
        <v>305</v>
      </c>
      <c r="F18" s="9">
        <v>250</v>
      </c>
      <c r="G18" s="9">
        <v>150</v>
      </c>
      <c r="H18" s="9">
        <v>100</v>
      </c>
      <c r="I18" s="9">
        <v>85</v>
      </c>
      <c r="J18" s="9">
        <v>60</v>
      </c>
      <c r="K18" s="9">
        <v>25</v>
      </c>
      <c r="L18" s="9">
        <v>15</v>
      </c>
      <c r="M18" s="9">
        <v>5</v>
      </c>
      <c r="N18" s="9">
        <v>0</v>
      </c>
      <c r="O18" s="9">
        <v>5</v>
      </c>
    </row>
    <row r="19" spans="1:15" x14ac:dyDescent="0.2">
      <c r="A19" s="6" t="s">
        <v>80</v>
      </c>
      <c r="B19" s="9">
        <v>4080</v>
      </c>
      <c r="C19" s="9">
        <v>3710</v>
      </c>
      <c r="D19" s="9">
        <v>3225</v>
      </c>
      <c r="E19" s="9">
        <v>485</v>
      </c>
      <c r="F19" s="9">
        <v>320</v>
      </c>
      <c r="G19" s="9">
        <v>205</v>
      </c>
      <c r="H19" s="9">
        <v>115</v>
      </c>
      <c r="I19" s="9">
        <v>45</v>
      </c>
      <c r="J19" s="9">
        <v>35</v>
      </c>
      <c r="K19" s="9">
        <v>10</v>
      </c>
      <c r="L19" s="9">
        <v>0</v>
      </c>
      <c r="M19" s="9">
        <v>0</v>
      </c>
      <c r="N19" s="9">
        <v>0</v>
      </c>
      <c r="O19" s="9">
        <v>0</v>
      </c>
    </row>
    <row r="20" spans="1:15" x14ac:dyDescent="0.2">
      <c r="A20" s="6" t="s">
        <v>81</v>
      </c>
      <c r="B20" s="9">
        <v>4405</v>
      </c>
      <c r="C20" s="9">
        <v>3990</v>
      </c>
      <c r="D20" s="9">
        <v>3475</v>
      </c>
      <c r="E20" s="9">
        <v>510</v>
      </c>
      <c r="F20" s="9">
        <v>350</v>
      </c>
      <c r="G20" s="9">
        <v>220</v>
      </c>
      <c r="H20" s="9">
        <v>130</v>
      </c>
      <c r="I20" s="9">
        <v>55</v>
      </c>
      <c r="J20" s="9">
        <v>40</v>
      </c>
      <c r="K20" s="9">
        <v>20</v>
      </c>
      <c r="L20" s="9">
        <v>10</v>
      </c>
      <c r="M20" s="9">
        <v>10</v>
      </c>
      <c r="N20" s="9">
        <v>0</v>
      </c>
      <c r="O20" s="9">
        <v>0</v>
      </c>
    </row>
    <row r="21" spans="1:15" x14ac:dyDescent="0.2">
      <c r="A21" s="6" t="s">
        <v>82</v>
      </c>
      <c r="B21" s="9">
        <v>3325</v>
      </c>
      <c r="C21" s="9">
        <v>2825</v>
      </c>
      <c r="D21" s="9">
        <v>2400</v>
      </c>
      <c r="E21" s="9">
        <v>425</v>
      </c>
      <c r="F21" s="9">
        <v>385</v>
      </c>
      <c r="G21" s="9">
        <v>235</v>
      </c>
      <c r="H21" s="9">
        <v>150</v>
      </c>
      <c r="I21" s="9">
        <v>100</v>
      </c>
      <c r="J21" s="9">
        <v>70</v>
      </c>
      <c r="K21" s="9">
        <v>35</v>
      </c>
      <c r="L21" s="9">
        <v>10</v>
      </c>
      <c r="M21" s="9">
        <v>10</v>
      </c>
      <c r="N21" s="9">
        <v>5</v>
      </c>
      <c r="O21" s="9">
        <v>0</v>
      </c>
    </row>
    <row r="22" spans="1:15" x14ac:dyDescent="0.2">
      <c r="A22" s="6" t="s">
        <v>83</v>
      </c>
      <c r="B22" s="9">
        <v>4025</v>
      </c>
      <c r="C22" s="9">
        <v>3620</v>
      </c>
      <c r="D22" s="9">
        <v>3180</v>
      </c>
      <c r="E22" s="9">
        <v>440</v>
      </c>
      <c r="F22" s="9">
        <v>340</v>
      </c>
      <c r="G22" s="9">
        <v>225</v>
      </c>
      <c r="H22" s="9">
        <v>120</v>
      </c>
      <c r="I22" s="9">
        <v>55</v>
      </c>
      <c r="J22" s="9">
        <v>40</v>
      </c>
      <c r="K22" s="9">
        <v>15</v>
      </c>
      <c r="L22" s="9">
        <v>10</v>
      </c>
      <c r="M22" s="9">
        <v>5</v>
      </c>
      <c r="N22" s="9">
        <v>5</v>
      </c>
      <c r="O22" s="9">
        <v>0</v>
      </c>
    </row>
    <row r="23" spans="1:15" x14ac:dyDescent="0.2">
      <c r="A23" s="6" t="s">
        <v>84</v>
      </c>
      <c r="B23" s="9">
        <v>5565</v>
      </c>
      <c r="C23" s="9">
        <v>4990</v>
      </c>
      <c r="D23" s="9">
        <v>4390</v>
      </c>
      <c r="E23" s="9">
        <v>600</v>
      </c>
      <c r="F23" s="9">
        <v>475</v>
      </c>
      <c r="G23" s="9">
        <v>300</v>
      </c>
      <c r="H23" s="9">
        <v>175</v>
      </c>
      <c r="I23" s="9">
        <v>85</v>
      </c>
      <c r="J23" s="9">
        <v>55</v>
      </c>
      <c r="K23" s="9">
        <v>30</v>
      </c>
      <c r="L23" s="9">
        <v>15</v>
      </c>
      <c r="M23" s="9">
        <v>5</v>
      </c>
      <c r="N23" s="9">
        <v>5</v>
      </c>
      <c r="O23" s="9">
        <v>0</v>
      </c>
    </row>
    <row r="24" spans="1:15" x14ac:dyDescent="0.2">
      <c r="A24" s="6" t="s">
        <v>85</v>
      </c>
      <c r="B24" s="9">
        <v>3740</v>
      </c>
      <c r="C24" s="9">
        <v>3360</v>
      </c>
      <c r="D24" s="9">
        <v>2955</v>
      </c>
      <c r="E24" s="9">
        <v>405</v>
      </c>
      <c r="F24" s="9">
        <v>320</v>
      </c>
      <c r="G24" s="9">
        <v>215</v>
      </c>
      <c r="H24" s="9">
        <v>105</v>
      </c>
      <c r="I24" s="9">
        <v>50</v>
      </c>
      <c r="J24" s="9">
        <v>35</v>
      </c>
      <c r="K24" s="9">
        <v>15</v>
      </c>
      <c r="L24" s="9">
        <v>10</v>
      </c>
      <c r="M24" s="9">
        <v>5</v>
      </c>
      <c r="N24" s="9">
        <v>0</v>
      </c>
      <c r="O24" s="9">
        <v>5</v>
      </c>
    </row>
    <row r="25" spans="1:15" x14ac:dyDescent="0.2">
      <c r="A25" s="6" t="s">
        <v>3</v>
      </c>
      <c r="B25" s="9">
        <v>4185</v>
      </c>
      <c r="C25" s="9">
        <v>3770</v>
      </c>
      <c r="D25" s="9">
        <v>3320</v>
      </c>
      <c r="E25" s="9">
        <v>450</v>
      </c>
      <c r="F25" s="9">
        <v>360</v>
      </c>
      <c r="G25" s="9">
        <v>245</v>
      </c>
      <c r="H25" s="9">
        <v>120</v>
      </c>
      <c r="I25" s="9">
        <v>45</v>
      </c>
      <c r="J25" s="9">
        <v>35</v>
      </c>
      <c r="K25" s="9">
        <v>5</v>
      </c>
      <c r="L25" s="9">
        <v>10</v>
      </c>
      <c r="M25" s="9">
        <v>5</v>
      </c>
      <c r="N25" s="9">
        <v>0</v>
      </c>
      <c r="O25" s="9">
        <v>0</v>
      </c>
    </row>
    <row r="26" spans="1:15" x14ac:dyDescent="0.2">
      <c r="A26" s="6" t="s">
        <v>86</v>
      </c>
      <c r="B26" s="9">
        <v>4340</v>
      </c>
      <c r="C26" s="9">
        <v>3850</v>
      </c>
      <c r="D26" s="9">
        <v>3385</v>
      </c>
      <c r="E26" s="9">
        <v>465</v>
      </c>
      <c r="F26" s="9">
        <v>410</v>
      </c>
      <c r="G26" s="9">
        <v>255</v>
      </c>
      <c r="H26" s="9">
        <v>150</v>
      </c>
      <c r="I26" s="9">
        <v>75</v>
      </c>
      <c r="J26" s="9">
        <v>50</v>
      </c>
      <c r="K26" s="9">
        <v>20</v>
      </c>
      <c r="L26" s="9">
        <v>10</v>
      </c>
      <c r="M26" s="9">
        <v>10</v>
      </c>
      <c r="N26" s="9">
        <v>0</v>
      </c>
      <c r="O26" s="9">
        <v>0</v>
      </c>
    </row>
    <row r="27" spans="1:15" x14ac:dyDescent="0.2">
      <c r="A27" s="6" t="s">
        <v>87</v>
      </c>
      <c r="B27" s="9">
        <v>5640</v>
      </c>
      <c r="C27" s="9">
        <v>5095</v>
      </c>
      <c r="D27" s="9">
        <v>4455</v>
      </c>
      <c r="E27" s="9">
        <v>640</v>
      </c>
      <c r="F27" s="9">
        <v>455</v>
      </c>
      <c r="G27" s="9">
        <v>300</v>
      </c>
      <c r="H27" s="9">
        <v>155</v>
      </c>
      <c r="I27" s="9">
        <v>75</v>
      </c>
      <c r="J27" s="9">
        <v>60</v>
      </c>
      <c r="K27" s="9">
        <v>15</v>
      </c>
      <c r="L27" s="9">
        <v>15</v>
      </c>
      <c r="M27" s="9">
        <v>5</v>
      </c>
      <c r="N27" s="9">
        <v>5</v>
      </c>
      <c r="O27" s="9">
        <v>5</v>
      </c>
    </row>
    <row r="28" spans="1:15" x14ac:dyDescent="0.2">
      <c r="A28" s="6" t="s">
        <v>88</v>
      </c>
      <c r="B28" s="9">
        <v>3175</v>
      </c>
      <c r="C28" s="9">
        <v>2835</v>
      </c>
      <c r="D28" s="9">
        <v>2465</v>
      </c>
      <c r="E28" s="9">
        <v>365</v>
      </c>
      <c r="F28" s="9">
        <v>285</v>
      </c>
      <c r="G28" s="9">
        <v>180</v>
      </c>
      <c r="H28" s="9">
        <v>105</v>
      </c>
      <c r="I28" s="9">
        <v>45</v>
      </c>
      <c r="J28" s="9">
        <v>30</v>
      </c>
      <c r="K28" s="9">
        <v>15</v>
      </c>
      <c r="L28" s="9">
        <v>15</v>
      </c>
      <c r="M28" s="9">
        <v>5</v>
      </c>
      <c r="N28" s="9">
        <v>5</v>
      </c>
      <c r="O28" s="9">
        <v>0</v>
      </c>
    </row>
    <row r="29" spans="1:15" x14ac:dyDescent="0.2">
      <c r="A29" s="6" t="s">
        <v>89</v>
      </c>
      <c r="B29" s="9">
        <v>4335</v>
      </c>
      <c r="C29" s="9">
        <v>3845</v>
      </c>
      <c r="D29" s="9">
        <v>3370</v>
      </c>
      <c r="E29" s="9">
        <v>475</v>
      </c>
      <c r="F29" s="9">
        <v>420</v>
      </c>
      <c r="G29" s="9">
        <v>255</v>
      </c>
      <c r="H29" s="9">
        <v>165</v>
      </c>
      <c r="I29" s="9">
        <v>55</v>
      </c>
      <c r="J29" s="9">
        <v>40</v>
      </c>
      <c r="K29" s="9">
        <v>15</v>
      </c>
      <c r="L29" s="9">
        <v>15</v>
      </c>
      <c r="M29" s="9">
        <v>10</v>
      </c>
      <c r="N29" s="9">
        <v>5</v>
      </c>
      <c r="O29" s="9">
        <v>0</v>
      </c>
    </row>
    <row r="30" spans="1:15" x14ac:dyDescent="0.2">
      <c r="A30" s="6" t="s">
        <v>90</v>
      </c>
      <c r="B30" s="9">
        <v>3065</v>
      </c>
      <c r="C30" s="9">
        <v>2770</v>
      </c>
      <c r="D30" s="9">
        <v>2475</v>
      </c>
      <c r="E30" s="9">
        <v>295</v>
      </c>
      <c r="F30" s="9">
        <v>245</v>
      </c>
      <c r="G30" s="9">
        <v>165</v>
      </c>
      <c r="H30" s="9">
        <v>75</v>
      </c>
      <c r="I30" s="9">
        <v>45</v>
      </c>
      <c r="J30" s="9">
        <v>30</v>
      </c>
      <c r="K30" s="9">
        <v>20</v>
      </c>
      <c r="L30" s="9">
        <v>5</v>
      </c>
      <c r="M30" s="9">
        <v>5</v>
      </c>
      <c r="N30" s="9">
        <v>0</v>
      </c>
      <c r="O30" s="9">
        <v>0</v>
      </c>
    </row>
    <row r="31" spans="1:15" x14ac:dyDescent="0.2">
      <c r="A31" s="6" t="s">
        <v>91</v>
      </c>
      <c r="B31" s="9">
        <v>3340</v>
      </c>
      <c r="C31" s="9">
        <v>2990</v>
      </c>
      <c r="D31" s="9">
        <v>2655</v>
      </c>
      <c r="E31" s="9">
        <v>335</v>
      </c>
      <c r="F31" s="9">
        <v>265</v>
      </c>
      <c r="G31" s="9">
        <v>170</v>
      </c>
      <c r="H31" s="9">
        <v>95</v>
      </c>
      <c r="I31" s="9">
        <v>50</v>
      </c>
      <c r="J31" s="9">
        <v>30</v>
      </c>
      <c r="K31" s="9">
        <v>20</v>
      </c>
      <c r="L31" s="9">
        <v>30</v>
      </c>
      <c r="M31" s="9">
        <v>20</v>
      </c>
      <c r="N31" s="9">
        <v>5</v>
      </c>
      <c r="O31" s="9">
        <v>5</v>
      </c>
    </row>
    <row r="32" spans="1:15" x14ac:dyDescent="0.2">
      <c r="A32" s="6" t="s">
        <v>92</v>
      </c>
      <c r="B32" s="9">
        <v>3855</v>
      </c>
      <c r="C32" s="9">
        <v>3415</v>
      </c>
      <c r="D32" s="9">
        <v>2945</v>
      </c>
      <c r="E32" s="9">
        <v>470</v>
      </c>
      <c r="F32" s="9">
        <v>360</v>
      </c>
      <c r="G32" s="9">
        <v>230</v>
      </c>
      <c r="H32" s="9">
        <v>125</v>
      </c>
      <c r="I32" s="9">
        <v>60</v>
      </c>
      <c r="J32" s="9">
        <v>35</v>
      </c>
      <c r="K32" s="9">
        <v>20</v>
      </c>
      <c r="L32" s="9">
        <v>20</v>
      </c>
      <c r="M32" s="9">
        <v>10</v>
      </c>
      <c r="N32" s="9">
        <v>5</v>
      </c>
      <c r="O32" s="9">
        <v>5</v>
      </c>
    </row>
    <row r="33" spans="1:15" x14ac:dyDescent="0.2">
      <c r="A33" s="6" t="s">
        <v>93</v>
      </c>
      <c r="B33" s="9">
        <v>4375</v>
      </c>
      <c r="C33" s="9">
        <v>3860</v>
      </c>
      <c r="D33" s="9">
        <v>3365</v>
      </c>
      <c r="E33" s="9">
        <v>495</v>
      </c>
      <c r="F33" s="9">
        <v>435</v>
      </c>
      <c r="G33" s="9">
        <v>280</v>
      </c>
      <c r="H33" s="9">
        <v>160</v>
      </c>
      <c r="I33" s="9">
        <v>70</v>
      </c>
      <c r="J33" s="9">
        <v>55</v>
      </c>
      <c r="K33" s="9">
        <v>20</v>
      </c>
      <c r="L33" s="9">
        <v>5</v>
      </c>
      <c r="M33" s="9">
        <v>0</v>
      </c>
      <c r="N33" s="9">
        <v>0</v>
      </c>
      <c r="O33" s="9">
        <v>5</v>
      </c>
    </row>
    <row r="34" spans="1:15" x14ac:dyDescent="0.2">
      <c r="A34" s="6" t="s">
        <v>94</v>
      </c>
      <c r="B34" s="9">
        <v>5170</v>
      </c>
      <c r="C34" s="9">
        <v>4700</v>
      </c>
      <c r="D34" s="9">
        <v>4180</v>
      </c>
      <c r="E34" s="9">
        <v>520</v>
      </c>
      <c r="F34" s="9">
        <v>395</v>
      </c>
      <c r="G34" s="9">
        <v>245</v>
      </c>
      <c r="H34" s="9">
        <v>150</v>
      </c>
      <c r="I34" s="9">
        <v>65</v>
      </c>
      <c r="J34" s="9">
        <v>50</v>
      </c>
      <c r="K34" s="9">
        <v>15</v>
      </c>
      <c r="L34" s="9">
        <v>10</v>
      </c>
      <c r="M34" s="9">
        <v>10</v>
      </c>
      <c r="N34" s="9">
        <v>5</v>
      </c>
      <c r="O34" s="9">
        <v>0</v>
      </c>
    </row>
    <row r="35" spans="1:15" x14ac:dyDescent="0.2">
      <c r="A35" s="6" t="s">
        <v>95</v>
      </c>
      <c r="B35" s="9">
        <v>3030</v>
      </c>
      <c r="C35" s="9">
        <v>2700</v>
      </c>
      <c r="D35" s="9">
        <v>2335</v>
      </c>
      <c r="E35" s="9">
        <v>370</v>
      </c>
      <c r="F35" s="9">
        <v>280</v>
      </c>
      <c r="G35" s="9">
        <v>175</v>
      </c>
      <c r="H35" s="9">
        <v>105</v>
      </c>
      <c r="I35" s="9">
        <v>45</v>
      </c>
      <c r="J35" s="9">
        <v>30</v>
      </c>
      <c r="K35" s="9">
        <v>15</v>
      </c>
      <c r="L35" s="9">
        <v>5</v>
      </c>
      <c r="M35" s="9">
        <v>0</v>
      </c>
      <c r="N35" s="9">
        <v>0</v>
      </c>
      <c r="O35" s="9">
        <v>5</v>
      </c>
    </row>
    <row r="36" spans="1:15" x14ac:dyDescent="0.2">
      <c r="A36" s="6" t="s">
        <v>96</v>
      </c>
      <c r="B36" s="11">
        <v>108805</v>
      </c>
      <c r="C36" s="11">
        <v>96785</v>
      </c>
      <c r="D36" s="11">
        <v>84670</v>
      </c>
      <c r="E36" s="11">
        <v>12115</v>
      </c>
      <c r="F36" s="11">
        <v>9935</v>
      </c>
      <c r="G36" s="11">
        <v>6315</v>
      </c>
      <c r="H36" s="11">
        <v>3620</v>
      </c>
      <c r="I36" s="11">
        <v>1730</v>
      </c>
      <c r="J36" s="11">
        <v>1205</v>
      </c>
      <c r="K36" s="11">
        <v>525</v>
      </c>
      <c r="L36" s="11">
        <v>355</v>
      </c>
      <c r="M36" s="11">
        <v>185</v>
      </c>
      <c r="N36" s="11">
        <v>90</v>
      </c>
      <c r="O36" s="11">
        <v>80</v>
      </c>
    </row>
    <row r="38" spans="1:15" x14ac:dyDescent="0.2">
      <c r="A38" s="5" t="s">
        <v>52</v>
      </c>
    </row>
    <row r="39" spans="1:15" x14ac:dyDescent="0.2">
      <c r="A39" s="5" t="s">
        <v>53</v>
      </c>
    </row>
    <row r="40" spans="1:15" x14ac:dyDescent="0.2">
      <c r="A40" s="6"/>
      <c r="B40" s="9"/>
      <c r="C40" s="9"/>
      <c r="D40" s="9"/>
      <c r="E40" s="9"/>
      <c r="F40" s="9"/>
      <c r="G40" s="9"/>
      <c r="H40" s="9"/>
      <c r="I40" s="9"/>
      <c r="J40" s="9"/>
      <c r="K40" s="9"/>
      <c r="L40" s="9"/>
      <c r="M40" s="9"/>
    </row>
    <row r="41" spans="1:15" x14ac:dyDescent="0.2">
      <c r="A41" s="6"/>
      <c r="B41" s="9"/>
      <c r="C41" s="9"/>
      <c r="D41" s="9"/>
      <c r="E41" s="9"/>
      <c r="F41" s="9"/>
      <c r="G41" s="9"/>
      <c r="H41" s="9"/>
      <c r="I41" s="9"/>
      <c r="J41" s="9"/>
      <c r="K41" s="9"/>
      <c r="L41" s="9"/>
      <c r="M41" s="9"/>
    </row>
    <row r="42" spans="1:15" x14ac:dyDescent="0.2">
      <c r="A42" s="6"/>
      <c r="B42" s="9"/>
      <c r="C42" s="9"/>
      <c r="D42" s="9"/>
      <c r="E42" s="9"/>
      <c r="F42" s="9"/>
      <c r="G42" s="9"/>
      <c r="H42" s="9"/>
      <c r="I42" s="9"/>
      <c r="J42" s="9"/>
      <c r="K42" s="9"/>
      <c r="L42" s="9"/>
      <c r="M42" s="9"/>
    </row>
    <row r="43" spans="1:15" x14ac:dyDescent="0.2">
      <c r="A43" s="6"/>
      <c r="B43" s="9"/>
      <c r="C43" s="9"/>
      <c r="D43" s="9"/>
      <c r="E43" s="9"/>
      <c r="F43" s="9"/>
      <c r="G43" s="9"/>
      <c r="H43" s="9"/>
      <c r="I43" s="9"/>
      <c r="J43" s="9"/>
      <c r="K43" s="9"/>
      <c r="L43" s="9"/>
      <c r="M43" s="9"/>
    </row>
    <row r="44" spans="1:15" x14ac:dyDescent="0.2">
      <c r="A44" s="6"/>
      <c r="B44" s="9"/>
      <c r="C44" s="9"/>
      <c r="D44" s="9"/>
      <c r="E44" s="9"/>
      <c r="F44" s="9"/>
      <c r="G44" s="9"/>
      <c r="H44" s="9"/>
      <c r="I44" s="9"/>
      <c r="J44" s="9"/>
      <c r="K44" s="9"/>
      <c r="L44" s="9"/>
      <c r="M44" s="9"/>
    </row>
    <row r="45" spans="1:15" x14ac:dyDescent="0.2">
      <c r="A45" s="6"/>
      <c r="B45" s="9"/>
      <c r="C45" s="9"/>
      <c r="D45" s="9"/>
      <c r="E45" s="9"/>
      <c r="F45" s="9"/>
      <c r="G45" s="9"/>
      <c r="H45" s="9"/>
      <c r="I45" s="9"/>
      <c r="J45" s="9"/>
      <c r="K45" s="9"/>
      <c r="L45" s="9"/>
      <c r="M45" s="9"/>
    </row>
    <row r="46" spans="1:15" x14ac:dyDescent="0.2">
      <c r="A46" s="6"/>
      <c r="B46" s="9"/>
      <c r="C46" s="9"/>
      <c r="D46" s="9"/>
      <c r="E46" s="9"/>
      <c r="F46" s="9"/>
      <c r="G46" s="9"/>
      <c r="H46" s="9"/>
      <c r="I46" s="9"/>
      <c r="J46" s="9"/>
      <c r="K46" s="9"/>
      <c r="L46" s="9"/>
      <c r="M46" s="9"/>
    </row>
    <row r="47" spans="1:15" x14ac:dyDescent="0.2">
      <c r="A47" s="6"/>
      <c r="B47" s="9"/>
      <c r="C47" s="9"/>
      <c r="D47" s="9"/>
      <c r="E47" s="9"/>
      <c r="F47" s="9"/>
      <c r="G47" s="9"/>
      <c r="H47" s="9"/>
      <c r="I47" s="9"/>
      <c r="J47" s="9"/>
      <c r="K47" s="9"/>
      <c r="L47" s="9"/>
      <c r="M47" s="9"/>
    </row>
    <row r="48" spans="1:15" x14ac:dyDescent="0.2">
      <c r="A48" s="6"/>
      <c r="B48" s="9"/>
      <c r="C48" s="9"/>
      <c r="D48" s="9"/>
      <c r="E48" s="9"/>
      <c r="F48" s="9"/>
      <c r="G48" s="9"/>
      <c r="H48" s="9"/>
      <c r="I48" s="9"/>
      <c r="J48" s="9"/>
      <c r="K48" s="9"/>
      <c r="L48" s="9"/>
      <c r="M48" s="9"/>
    </row>
    <row r="49" spans="1:13" x14ac:dyDescent="0.2">
      <c r="A49" s="6"/>
      <c r="B49" s="9"/>
      <c r="C49" s="9"/>
      <c r="D49" s="9"/>
      <c r="E49" s="9"/>
      <c r="F49" s="9"/>
      <c r="G49" s="9"/>
      <c r="H49" s="9"/>
      <c r="I49" s="9"/>
      <c r="J49" s="9"/>
      <c r="K49" s="9"/>
      <c r="L49" s="9"/>
      <c r="M49" s="9"/>
    </row>
    <row r="50" spans="1:13" x14ac:dyDescent="0.2">
      <c r="A50" s="6"/>
      <c r="B50" s="9"/>
      <c r="C50" s="9"/>
      <c r="D50" s="9"/>
      <c r="E50" s="9"/>
      <c r="F50" s="9"/>
      <c r="G50" s="9"/>
      <c r="H50" s="9"/>
      <c r="I50" s="9"/>
      <c r="J50" s="9"/>
      <c r="K50" s="9"/>
      <c r="L50" s="9"/>
      <c r="M50" s="9"/>
    </row>
    <row r="51" spans="1:13" x14ac:dyDescent="0.2">
      <c r="A51" s="6"/>
      <c r="B51" s="9"/>
      <c r="C51" s="9"/>
      <c r="D51" s="9"/>
      <c r="E51" s="9"/>
      <c r="F51" s="9"/>
      <c r="G51" s="9"/>
      <c r="H51" s="9"/>
      <c r="I51" s="9"/>
      <c r="J51" s="9"/>
      <c r="K51" s="9"/>
      <c r="L51" s="9"/>
      <c r="M51" s="9"/>
    </row>
    <row r="52" spans="1:13" x14ac:dyDescent="0.2">
      <c r="A52" s="6"/>
      <c r="B52" s="9"/>
      <c r="C52" s="9"/>
      <c r="D52" s="9"/>
      <c r="E52" s="9"/>
      <c r="F52" s="9"/>
      <c r="G52" s="9"/>
      <c r="H52" s="9"/>
      <c r="I52" s="9"/>
      <c r="J52" s="9"/>
      <c r="K52" s="9"/>
      <c r="L52" s="9"/>
      <c r="M52" s="9"/>
    </row>
    <row r="53" spans="1:13" x14ac:dyDescent="0.2">
      <c r="A53" s="6"/>
      <c r="B53" s="9"/>
      <c r="C53" s="9"/>
      <c r="D53" s="9"/>
      <c r="E53" s="9"/>
      <c r="F53" s="9"/>
      <c r="G53" s="9"/>
      <c r="H53" s="9"/>
      <c r="I53" s="9"/>
      <c r="J53" s="9"/>
      <c r="K53" s="9"/>
      <c r="L53" s="9"/>
      <c r="M53" s="9"/>
    </row>
    <row r="54" spans="1:13" x14ac:dyDescent="0.2">
      <c r="A54" s="6"/>
      <c r="B54" s="9"/>
      <c r="C54" s="9"/>
      <c r="D54" s="9"/>
      <c r="E54" s="9"/>
      <c r="F54" s="9"/>
      <c r="G54" s="9"/>
      <c r="H54" s="9"/>
      <c r="I54" s="9"/>
      <c r="J54" s="9"/>
      <c r="K54" s="9"/>
      <c r="L54" s="9"/>
      <c r="M54" s="9"/>
    </row>
    <row r="56" spans="1:13" x14ac:dyDescent="0.2">
      <c r="A56" s="5"/>
    </row>
    <row r="57" spans="1:13" x14ac:dyDescent="0.2">
      <c r="A57" s="5"/>
    </row>
    <row r="58" spans="1:13" x14ac:dyDescent="0.2">
      <c r="A58" s="5"/>
    </row>
    <row r="61" spans="1:13" x14ac:dyDescent="0.2">
      <c r="A61" s="4"/>
    </row>
    <row r="62" spans="1:13" x14ac:dyDescent="0.2">
      <c r="A62" s="5"/>
    </row>
    <row r="64" spans="1:13" x14ac:dyDescent="0.2">
      <c r="A64" s="6"/>
      <c r="B64" s="6"/>
    </row>
    <row r="65" spans="1:13" x14ac:dyDescent="0.2">
      <c r="A65" s="6"/>
      <c r="B65" s="6"/>
    </row>
    <row r="66" spans="1:13" x14ac:dyDescent="0.2">
      <c r="A66" s="6"/>
      <c r="B66" s="6"/>
    </row>
    <row r="68" spans="1:13" x14ac:dyDescent="0.2">
      <c r="A68" s="7"/>
      <c r="B68" s="8"/>
      <c r="C68" s="8"/>
      <c r="D68" s="8"/>
      <c r="E68" s="8"/>
      <c r="F68" s="8"/>
      <c r="G68" s="8"/>
      <c r="H68" s="8"/>
      <c r="I68" s="8"/>
      <c r="J68" s="8"/>
      <c r="K68" s="8"/>
      <c r="L68" s="8"/>
      <c r="M68" s="8"/>
    </row>
    <row r="69" spans="1:13" x14ac:dyDescent="0.2">
      <c r="A69" s="6"/>
      <c r="B69" s="9"/>
      <c r="C69" s="9"/>
      <c r="D69" s="9"/>
      <c r="E69" s="9"/>
      <c r="F69" s="9"/>
      <c r="G69" s="9"/>
      <c r="H69" s="9"/>
      <c r="I69" s="9"/>
      <c r="J69" s="9"/>
      <c r="K69" s="9"/>
      <c r="L69" s="9"/>
      <c r="M69" s="9"/>
    </row>
    <row r="70" spans="1:13" x14ac:dyDescent="0.2">
      <c r="A70" s="6"/>
      <c r="B70" s="9"/>
      <c r="C70" s="9"/>
      <c r="D70" s="9"/>
      <c r="E70" s="9"/>
      <c r="F70" s="9"/>
      <c r="G70" s="9"/>
      <c r="H70" s="9"/>
      <c r="I70" s="9"/>
      <c r="J70" s="9"/>
      <c r="K70" s="9"/>
      <c r="L70" s="9"/>
      <c r="M70" s="9"/>
    </row>
    <row r="71" spans="1:13" x14ac:dyDescent="0.2">
      <c r="A71" s="6"/>
      <c r="B71" s="9"/>
      <c r="C71" s="9"/>
      <c r="D71" s="9"/>
      <c r="E71" s="9"/>
      <c r="F71" s="9"/>
      <c r="G71" s="9"/>
      <c r="H71" s="9"/>
      <c r="I71" s="9"/>
      <c r="J71" s="9"/>
      <c r="K71" s="9"/>
      <c r="L71" s="9"/>
      <c r="M71" s="9"/>
    </row>
    <row r="72" spans="1:13" x14ac:dyDescent="0.2">
      <c r="A72" s="6"/>
      <c r="B72" s="9"/>
      <c r="C72" s="9"/>
      <c r="D72" s="9"/>
      <c r="E72" s="9"/>
      <c r="F72" s="9"/>
      <c r="G72" s="9"/>
      <c r="H72" s="9"/>
      <c r="I72" s="9"/>
      <c r="J72" s="9"/>
      <c r="K72" s="9"/>
      <c r="L72" s="9"/>
      <c r="M72" s="9"/>
    </row>
    <row r="73" spans="1:13" x14ac:dyDescent="0.2">
      <c r="A73" s="6"/>
      <c r="B73" s="9"/>
      <c r="C73" s="9"/>
      <c r="D73" s="9"/>
      <c r="E73" s="9"/>
      <c r="F73" s="9"/>
      <c r="G73" s="9"/>
      <c r="H73" s="9"/>
      <c r="I73" s="9"/>
      <c r="J73" s="9"/>
      <c r="K73" s="9"/>
      <c r="L73" s="9"/>
      <c r="M73" s="9"/>
    </row>
    <row r="74" spans="1:13" x14ac:dyDescent="0.2">
      <c r="A74" s="6"/>
      <c r="B74" s="9"/>
      <c r="C74" s="9"/>
      <c r="D74" s="9"/>
      <c r="E74" s="9"/>
      <c r="F74" s="9"/>
      <c r="G74" s="9"/>
      <c r="H74" s="9"/>
      <c r="I74" s="9"/>
      <c r="J74" s="9"/>
      <c r="K74" s="9"/>
      <c r="L74" s="9"/>
      <c r="M74" s="9"/>
    </row>
    <row r="75" spans="1:13" x14ac:dyDescent="0.2">
      <c r="A75" s="6"/>
      <c r="B75" s="9"/>
      <c r="C75" s="9"/>
      <c r="D75" s="9"/>
      <c r="E75" s="9"/>
      <c r="F75" s="9"/>
      <c r="G75" s="9"/>
      <c r="H75" s="9"/>
      <c r="I75" s="9"/>
      <c r="J75" s="9"/>
      <c r="K75" s="9"/>
      <c r="L75" s="9"/>
      <c r="M75" s="9"/>
    </row>
    <row r="76" spans="1:13" x14ac:dyDescent="0.2">
      <c r="A76" s="6"/>
      <c r="B76" s="9"/>
      <c r="C76" s="9"/>
      <c r="D76" s="9"/>
      <c r="E76" s="9"/>
      <c r="F76" s="9"/>
      <c r="G76" s="9"/>
      <c r="H76" s="9"/>
      <c r="I76" s="9"/>
      <c r="J76" s="9"/>
      <c r="K76" s="9"/>
      <c r="L76" s="9"/>
      <c r="M76" s="9"/>
    </row>
    <row r="77" spans="1:13" x14ac:dyDescent="0.2">
      <c r="A77" s="6"/>
      <c r="B77" s="9"/>
      <c r="C77" s="9"/>
      <c r="D77" s="9"/>
      <c r="E77" s="9"/>
      <c r="F77" s="9"/>
      <c r="G77" s="9"/>
      <c r="H77" s="9"/>
      <c r="I77" s="9"/>
      <c r="J77" s="9"/>
      <c r="K77" s="9"/>
      <c r="L77" s="9"/>
      <c r="M77" s="9"/>
    </row>
    <row r="78" spans="1:13" x14ac:dyDescent="0.2">
      <c r="A78" s="6"/>
      <c r="B78" s="9"/>
      <c r="C78" s="9"/>
      <c r="D78" s="9"/>
      <c r="E78" s="9"/>
      <c r="F78" s="9"/>
      <c r="G78" s="9"/>
      <c r="H78" s="9"/>
      <c r="I78" s="9"/>
      <c r="J78" s="9"/>
      <c r="K78" s="9"/>
      <c r="L78" s="9"/>
      <c r="M78" s="9"/>
    </row>
    <row r="79" spans="1:13" x14ac:dyDescent="0.2">
      <c r="A79" s="6"/>
      <c r="B79" s="9"/>
      <c r="C79" s="9"/>
      <c r="D79" s="9"/>
      <c r="E79" s="9"/>
      <c r="F79" s="9"/>
      <c r="G79" s="9"/>
      <c r="H79" s="9"/>
      <c r="I79" s="9"/>
      <c r="J79" s="9"/>
      <c r="K79" s="9"/>
      <c r="L79" s="9"/>
      <c r="M79" s="9"/>
    </row>
    <row r="80" spans="1:13" x14ac:dyDescent="0.2">
      <c r="A80" s="6"/>
      <c r="B80" s="9"/>
      <c r="C80" s="9"/>
      <c r="D80" s="9"/>
      <c r="E80" s="9"/>
      <c r="F80" s="9"/>
      <c r="G80" s="9"/>
      <c r="H80" s="9"/>
      <c r="I80" s="9"/>
      <c r="J80" s="9"/>
      <c r="K80" s="9"/>
      <c r="L80" s="9"/>
      <c r="M80" s="9"/>
    </row>
    <row r="81" spans="1:13" x14ac:dyDescent="0.2">
      <c r="A81" s="6"/>
      <c r="B81" s="9"/>
      <c r="C81" s="9"/>
      <c r="D81" s="9"/>
      <c r="E81" s="9"/>
      <c r="F81" s="9"/>
      <c r="G81" s="9"/>
      <c r="H81" s="9"/>
      <c r="I81" s="9"/>
      <c r="J81" s="9"/>
      <c r="K81" s="9"/>
      <c r="L81" s="9"/>
      <c r="M81" s="9"/>
    </row>
    <row r="82" spans="1:13" x14ac:dyDescent="0.2">
      <c r="A82" s="6"/>
      <c r="B82" s="9"/>
      <c r="C82" s="9"/>
      <c r="D82" s="9"/>
      <c r="E82" s="9"/>
      <c r="F82" s="9"/>
      <c r="G82" s="9"/>
      <c r="H82" s="9"/>
      <c r="I82" s="9"/>
      <c r="J82" s="9"/>
      <c r="K82" s="9"/>
      <c r="L82" s="9"/>
      <c r="M82" s="9"/>
    </row>
    <row r="83" spans="1:13" x14ac:dyDescent="0.2">
      <c r="A83" s="6"/>
      <c r="B83" s="9"/>
      <c r="C83" s="9"/>
      <c r="D83" s="9"/>
      <c r="E83" s="9"/>
      <c r="F83" s="9"/>
      <c r="G83" s="9"/>
      <c r="H83" s="9"/>
      <c r="I83" s="9"/>
      <c r="J83" s="9"/>
      <c r="K83" s="9"/>
      <c r="L83" s="9"/>
      <c r="M83" s="9"/>
    </row>
    <row r="84" spans="1:13" x14ac:dyDescent="0.2">
      <c r="A84" s="6"/>
      <c r="B84" s="9"/>
      <c r="C84" s="9"/>
      <c r="D84" s="9"/>
      <c r="E84" s="9"/>
      <c r="F84" s="9"/>
      <c r="G84" s="9"/>
      <c r="H84" s="9"/>
      <c r="I84" s="9"/>
      <c r="J84" s="9"/>
      <c r="K84" s="9"/>
      <c r="L84" s="9"/>
      <c r="M84" s="9"/>
    </row>
    <row r="86" spans="1:13" x14ac:dyDescent="0.2">
      <c r="A86" s="5"/>
    </row>
    <row r="87" spans="1:13" x14ac:dyDescent="0.2">
      <c r="A87" s="5"/>
    </row>
    <row r="88" spans="1:13" x14ac:dyDescent="0.2">
      <c r="A88" s="5"/>
    </row>
    <row r="91" spans="1:13" x14ac:dyDescent="0.2">
      <c r="A91" s="4"/>
    </row>
    <row r="92" spans="1:13" x14ac:dyDescent="0.2">
      <c r="A92" s="5"/>
    </row>
    <row r="94" spans="1:13" x14ac:dyDescent="0.2">
      <c r="A94" s="6"/>
      <c r="B94" s="6"/>
    </row>
    <row r="95" spans="1:13" x14ac:dyDescent="0.2">
      <c r="A95" s="6"/>
      <c r="B95" s="6"/>
    </row>
    <row r="96" spans="1:13" x14ac:dyDescent="0.2">
      <c r="A96" s="6"/>
      <c r="B96" s="6"/>
    </row>
    <row r="98" spans="1:13" x14ac:dyDescent="0.2">
      <c r="A98" s="7"/>
      <c r="B98" s="8"/>
      <c r="C98" s="8"/>
      <c r="D98" s="8"/>
      <c r="E98" s="8"/>
      <c r="F98" s="8"/>
      <c r="G98" s="8"/>
      <c r="H98" s="8"/>
      <c r="I98" s="8"/>
      <c r="J98" s="8"/>
      <c r="K98" s="8"/>
      <c r="L98" s="8"/>
      <c r="M98" s="8"/>
    </row>
    <row r="99" spans="1:13" x14ac:dyDescent="0.2">
      <c r="A99" s="6"/>
      <c r="B99" s="9"/>
      <c r="C99" s="9"/>
      <c r="D99" s="9"/>
      <c r="E99" s="9"/>
      <c r="F99" s="9"/>
      <c r="G99" s="9"/>
      <c r="H99" s="9"/>
      <c r="I99" s="9"/>
      <c r="J99" s="9"/>
      <c r="K99" s="9"/>
      <c r="L99" s="9"/>
      <c r="M99" s="9"/>
    </row>
    <row r="100" spans="1:13" x14ac:dyDescent="0.2">
      <c r="A100" s="6"/>
      <c r="B100" s="9"/>
      <c r="C100" s="9"/>
      <c r="D100" s="9"/>
      <c r="E100" s="9"/>
      <c r="F100" s="9"/>
      <c r="G100" s="9"/>
      <c r="H100" s="9"/>
      <c r="I100" s="9"/>
      <c r="J100" s="9"/>
      <c r="K100" s="9"/>
      <c r="L100" s="9"/>
      <c r="M100" s="9"/>
    </row>
    <row r="101" spans="1:13" x14ac:dyDescent="0.2">
      <c r="A101" s="6"/>
      <c r="B101" s="9"/>
      <c r="C101" s="9"/>
      <c r="D101" s="9"/>
      <c r="E101" s="9"/>
      <c r="F101" s="9"/>
      <c r="G101" s="9"/>
      <c r="H101" s="9"/>
      <c r="I101" s="9"/>
      <c r="J101" s="9"/>
      <c r="K101" s="9"/>
      <c r="L101" s="9"/>
      <c r="M101" s="9"/>
    </row>
    <row r="102" spans="1:13" x14ac:dyDescent="0.2">
      <c r="A102" s="6"/>
      <c r="B102" s="9"/>
      <c r="C102" s="9"/>
      <c r="D102" s="9"/>
      <c r="E102" s="9"/>
      <c r="F102" s="9"/>
      <c r="G102" s="9"/>
      <c r="H102" s="9"/>
      <c r="I102" s="9"/>
      <c r="J102" s="9"/>
      <c r="K102" s="9"/>
      <c r="L102" s="9"/>
      <c r="M102" s="9"/>
    </row>
    <row r="103" spans="1:13" x14ac:dyDescent="0.2">
      <c r="A103" s="6"/>
      <c r="B103" s="9"/>
      <c r="C103" s="9"/>
      <c r="D103" s="9"/>
      <c r="E103" s="9"/>
      <c r="F103" s="9"/>
      <c r="G103" s="9"/>
      <c r="H103" s="9"/>
      <c r="I103" s="9"/>
      <c r="J103" s="9"/>
      <c r="K103" s="9"/>
      <c r="L103" s="9"/>
      <c r="M103" s="9"/>
    </row>
    <row r="104" spans="1:13" x14ac:dyDescent="0.2">
      <c r="A104" s="6"/>
      <c r="B104" s="9"/>
      <c r="C104" s="9"/>
      <c r="D104" s="9"/>
      <c r="E104" s="9"/>
      <c r="F104" s="9"/>
      <c r="G104" s="9"/>
      <c r="H104" s="9"/>
      <c r="I104" s="9"/>
      <c r="J104" s="9"/>
      <c r="K104" s="9"/>
      <c r="L104" s="9"/>
      <c r="M104" s="9"/>
    </row>
    <row r="105" spans="1:13" x14ac:dyDescent="0.2">
      <c r="A105" s="6"/>
      <c r="B105" s="9"/>
      <c r="C105" s="9"/>
      <c r="D105" s="9"/>
      <c r="E105" s="9"/>
      <c r="F105" s="9"/>
      <c r="G105" s="9"/>
      <c r="H105" s="9"/>
      <c r="I105" s="9"/>
      <c r="J105" s="9"/>
      <c r="K105" s="9"/>
      <c r="L105" s="9"/>
      <c r="M105" s="9"/>
    </row>
    <row r="106" spans="1:13" x14ac:dyDescent="0.2">
      <c r="A106" s="6"/>
      <c r="B106" s="9"/>
      <c r="C106" s="9"/>
      <c r="D106" s="9"/>
      <c r="E106" s="9"/>
      <c r="F106" s="9"/>
      <c r="G106" s="9"/>
      <c r="H106" s="9"/>
      <c r="I106" s="9"/>
      <c r="J106" s="9"/>
      <c r="K106" s="9"/>
      <c r="L106" s="9"/>
      <c r="M106" s="9"/>
    </row>
    <row r="107" spans="1:13" x14ac:dyDescent="0.2">
      <c r="A107" s="6"/>
      <c r="B107" s="9"/>
      <c r="C107" s="9"/>
      <c r="D107" s="9"/>
      <c r="E107" s="9"/>
      <c r="F107" s="9"/>
      <c r="G107" s="9"/>
      <c r="H107" s="9"/>
      <c r="I107" s="9"/>
      <c r="J107" s="9"/>
      <c r="K107" s="9"/>
      <c r="L107" s="9"/>
      <c r="M107" s="9"/>
    </row>
    <row r="108" spans="1:13" x14ac:dyDescent="0.2">
      <c r="A108" s="6"/>
      <c r="B108" s="9"/>
      <c r="C108" s="9"/>
      <c r="D108" s="9"/>
      <c r="E108" s="9"/>
      <c r="F108" s="9"/>
      <c r="G108" s="9"/>
      <c r="H108" s="9"/>
      <c r="I108" s="9"/>
      <c r="J108" s="9"/>
      <c r="K108" s="9"/>
      <c r="L108" s="9"/>
      <c r="M108" s="9"/>
    </row>
    <row r="109" spans="1:13" x14ac:dyDescent="0.2">
      <c r="A109" s="6"/>
      <c r="B109" s="9"/>
      <c r="C109" s="9"/>
      <c r="D109" s="9"/>
      <c r="E109" s="9"/>
      <c r="F109" s="9"/>
      <c r="G109" s="9"/>
      <c r="H109" s="9"/>
      <c r="I109" s="9"/>
      <c r="J109" s="9"/>
      <c r="K109" s="9"/>
      <c r="L109" s="9"/>
      <c r="M109" s="9"/>
    </row>
    <row r="110" spans="1:13" x14ac:dyDescent="0.2">
      <c r="A110" s="6"/>
      <c r="B110" s="9"/>
      <c r="C110" s="9"/>
      <c r="D110" s="9"/>
      <c r="E110" s="9"/>
      <c r="F110" s="9"/>
      <c r="G110" s="9"/>
      <c r="H110" s="9"/>
      <c r="I110" s="9"/>
      <c r="J110" s="9"/>
      <c r="K110" s="9"/>
      <c r="L110" s="9"/>
      <c r="M110" s="9"/>
    </row>
    <row r="111" spans="1:13" x14ac:dyDescent="0.2">
      <c r="A111" s="6"/>
      <c r="B111" s="9"/>
      <c r="C111" s="9"/>
      <c r="D111" s="9"/>
      <c r="E111" s="9"/>
      <c r="F111" s="9"/>
      <c r="G111" s="9"/>
      <c r="H111" s="9"/>
      <c r="I111" s="9"/>
      <c r="J111" s="9"/>
      <c r="K111" s="9"/>
      <c r="L111" s="9"/>
      <c r="M111" s="9"/>
    </row>
    <row r="112" spans="1:13" x14ac:dyDescent="0.2">
      <c r="A112" s="6"/>
      <c r="B112" s="9"/>
      <c r="C112" s="9"/>
      <c r="D112" s="9"/>
      <c r="E112" s="9"/>
      <c r="F112" s="9"/>
      <c r="G112" s="9"/>
      <c r="H112" s="9"/>
      <c r="I112" s="9"/>
      <c r="J112" s="9"/>
      <c r="K112" s="9"/>
      <c r="L112" s="9"/>
      <c r="M112" s="9"/>
    </row>
    <row r="113" spans="1:13" x14ac:dyDescent="0.2">
      <c r="A113" s="6"/>
      <c r="B113" s="9"/>
      <c r="C113" s="9"/>
      <c r="D113" s="9"/>
      <c r="E113" s="9"/>
      <c r="F113" s="9"/>
      <c r="G113" s="9"/>
      <c r="H113" s="9"/>
      <c r="I113" s="9"/>
      <c r="J113" s="9"/>
      <c r="K113" s="9"/>
      <c r="L113" s="9"/>
      <c r="M113" s="9"/>
    </row>
    <row r="114" spans="1:13" x14ac:dyDescent="0.2">
      <c r="A114" s="6"/>
      <c r="B114" s="9"/>
      <c r="C114" s="9"/>
      <c r="D114" s="9"/>
      <c r="E114" s="9"/>
      <c r="F114" s="9"/>
      <c r="G114" s="9"/>
      <c r="H114" s="9"/>
      <c r="I114" s="9"/>
      <c r="J114" s="9"/>
      <c r="K114" s="9"/>
      <c r="L114" s="9"/>
      <c r="M114" s="9"/>
    </row>
    <row r="116" spans="1:13" x14ac:dyDescent="0.2">
      <c r="A116" s="5"/>
    </row>
    <row r="117" spans="1:13" x14ac:dyDescent="0.2">
      <c r="A117" s="5"/>
    </row>
    <row r="118" spans="1:13" x14ac:dyDescent="0.2">
      <c r="A118" s="5"/>
    </row>
    <row r="121" spans="1:13" x14ac:dyDescent="0.2">
      <c r="A121" s="4"/>
    </row>
    <row r="122" spans="1:13" x14ac:dyDescent="0.2">
      <c r="A122" s="5"/>
    </row>
    <row r="124" spans="1:13" x14ac:dyDescent="0.2">
      <c r="A124" s="6"/>
      <c r="B124" s="6"/>
    </row>
    <row r="125" spans="1:13" x14ac:dyDescent="0.2">
      <c r="A125" s="6"/>
      <c r="B125" s="6"/>
    </row>
    <row r="126" spans="1:13" x14ac:dyDescent="0.2">
      <c r="A126" s="6"/>
      <c r="B126" s="6"/>
    </row>
    <row r="128" spans="1:13" x14ac:dyDescent="0.2">
      <c r="A128" s="7"/>
      <c r="B128" s="8"/>
      <c r="C128" s="8"/>
      <c r="D128" s="8"/>
      <c r="E128" s="8"/>
      <c r="F128" s="8"/>
      <c r="G128" s="8"/>
      <c r="H128" s="8"/>
      <c r="I128" s="8"/>
      <c r="J128" s="8"/>
      <c r="K128" s="8"/>
      <c r="L128" s="8"/>
      <c r="M128" s="8"/>
    </row>
    <row r="129" spans="1:13" x14ac:dyDescent="0.2">
      <c r="A129" s="6"/>
      <c r="B129" s="9"/>
      <c r="C129" s="9"/>
      <c r="D129" s="9"/>
      <c r="E129" s="9"/>
      <c r="F129" s="9"/>
      <c r="G129" s="9"/>
      <c r="H129" s="9"/>
      <c r="I129" s="9"/>
      <c r="J129" s="9"/>
      <c r="K129" s="9"/>
      <c r="L129" s="9"/>
      <c r="M129" s="9"/>
    </row>
    <row r="130" spans="1:13" x14ac:dyDescent="0.2">
      <c r="A130" s="6"/>
      <c r="B130" s="9"/>
      <c r="C130" s="9"/>
      <c r="D130" s="9"/>
      <c r="E130" s="9"/>
      <c r="F130" s="9"/>
      <c r="G130" s="9"/>
      <c r="H130" s="9"/>
      <c r="I130" s="9"/>
      <c r="J130" s="9"/>
      <c r="K130" s="9"/>
      <c r="L130" s="9"/>
      <c r="M130" s="9"/>
    </row>
    <row r="131" spans="1:13" x14ac:dyDescent="0.2">
      <c r="A131" s="6"/>
      <c r="B131" s="9"/>
      <c r="C131" s="9"/>
      <c r="D131" s="9"/>
      <c r="E131" s="9"/>
      <c r="F131" s="9"/>
      <c r="G131" s="9"/>
      <c r="H131" s="9"/>
      <c r="I131" s="9"/>
      <c r="J131" s="9"/>
      <c r="K131" s="9"/>
      <c r="L131" s="9"/>
      <c r="M131" s="9"/>
    </row>
    <row r="132" spans="1:13" x14ac:dyDescent="0.2">
      <c r="A132" s="6"/>
      <c r="B132" s="9"/>
      <c r="C132" s="9"/>
      <c r="D132" s="9"/>
      <c r="E132" s="9"/>
      <c r="F132" s="9"/>
      <c r="G132" s="9"/>
      <c r="H132" s="9"/>
      <c r="I132" s="9"/>
      <c r="J132" s="9"/>
      <c r="K132" s="9"/>
      <c r="L132" s="9"/>
      <c r="M132" s="9"/>
    </row>
    <row r="133" spans="1:13" x14ac:dyDescent="0.2">
      <c r="A133" s="6"/>
      <c r="B133" s="9"/>
      <c r="C133" s="9"/>
      <c r="D133" s="9"/>
      <c r="E133" s="9"/>
      <c r="F133" s="9"/>
      <c r="G133" s="9"/>
      <c r="H133" s="9"/>
      <c r="I133" s="9"/>
      <c r="J133" s="9"/>
      <c r="K133" s="9"/>
      <c r="L133" s="9"/>
      <c r="M133" s="9"/>
    </row>
    <row r="134" spans="1:13" x14ac:dyDescent="0.2">
      <c r="A134" s="6"/>
      <c r="B134" s="9"/>
      <c r="C134" s="9"/>
      <c r="D134" s="9"/>
      <c r="E134" s="9"/>
      <c r="F134" s="9"/>
      <c r="G134" s="9"/>
      <c r="H134" s="9"/>
      <c r="I134" s="9"/>
      <c r="J134" s="9"/>
      <c r="K134" s="9"/>
      <c r="L134" s="9"/>
      <c r="M134" s="9"/>
    </row>
    <row r="135" spans="1:13" x14ac:dyDescent="0.2">
      <c r="A135" s="6"/>
      <c r="B135" s="9"/>
      <c r="C135" s="9"/>
      <c r="D135" s="9"/>
      <c r="E135" s="9"/>
      <c r="F135" s="9"/>
      <c r="G135" s="9"/>
      <c r="H135" s="9"/>
      <c r="I135" s="9"/>
      <c r="J135" s="9"/>
      <c r="K135" s="9"/>
      <c r="L135" s="9"/>
      <c r="M135" s="9"/>
    </row>
    <row r="136" spans="1:13" x14ac:dyDescent="0.2">
      <c r="A136" s="6"/>
      <c r="B136" s="9"/>
      <c r="C136" s="9"/>
      <c r="D136" s="9"/>
      <c r="E136" s="9"/>
      <c r="F136" s="9"/>
      <c r="G136" s="9"/>
      <c r="H136" s="9"/>
      <c r="I136" s="9"/>
      <c r="J136" s="9"/>
      <c r="K136" s="9"/>
      <c r="L136" s="9"/>
      <c r="M136" s="9"/>
    </row>
    <row r="137" spans="1:13" x14ac:dyDescent="0.2">
      <c r="A137" s="6"/>
      <c r="B137" s="9"/>
      <c r="C137" s="9"/>
      <c r="D137" s="9"/>
      <c r="E137" s="9"/>
      <c r="F137" s="9"/>
      <c r="G137" s="9"/>
      <c r="H137" s="9"/>
      <c r="I137" s="9"/>
      <c r="J137" s="9"/>
      <c r="K137" s="9"/>
      <c r="L137" s="9"/>
      <c r="M137" s="9"/>
    </row>
    <row r="138" spans="1:13" x14ac:dyDescent="0.2">
      <c r="A138" s="6"/>
      <c r="B138" s="9"/>
      <c r="C138" s="9"/>
      <c r="D138" s="9"/>
      <c r="E138" s="9"/>
      <c r="F138" s="9"/>
      <c r="G138" s="9"/>
      <c r="H138" s="9"/>
      <c r="I138" s="9"/>
      <c r="J138" s="9"/>
      <c r="K138" s="9"/>
      <c r="L138" s="9"/>
      <c r="M138" s="9"/>
    </row>
    <row r="139" spans="1:13" x14ac:dyDescent="0.2">
      <c r="A139" s="6"/>
      <c r="B139" s="9"/>
      <c r="C139" s="9"/>
      <c r="D139" s="9"/>
      <c r="E139" s="9"/>
      <c r="F139" s="9"/>
      <c r="G139" s="9"/>
      <c r="H139" s="9"/>
      <c r="I139" s="9"/>
      <c r="J139" s="9"/>
      <c r="K139" s="9"/>
      <c r="L139" s="9"/>
      <c r="M139" s="9"/>
    </row>
    <row r="140" spans="1:13" x14ac:dyDescent="0.2">
      <c r="A140" s="6"/>
      <c r="B140" s="9"/>
      <c r="C140" s="9"/>
      <c r="D140" s="9"/>
      <c r="E140" s="9"/>
      <c r="F140" s="9"/>
      <c r="G140" s="9"/>
      <c r="H140" s="9"/>
      <c r="I140" s="9"/>
      <c r="J140" s="9"/>
      <c r="K140" s="9"/>
      <c r="L140" s="9"/>
      <c r="M140" s="9"/>
    </row>
    <row r="141" spans="1:13" x14ac:dyDescent="0.2">
      <c r="A141" s="6"/>
      <c r="B141" s="9"/>
      <c r="C141" s="9"/>
      <c r="D141" s="9"/>
      <c r="E141" s="9"/>
      <c r="F141" s="9"/>
      <c r="G141" s="9"/>
      <c r="H141" s="9"/>
      <c r="I141" s="9"/>
      <c r="J141" s="9"/>
      <c r="K141" s="9"/>
      <c r="L141" s="9"/>
      <c r="M141" s="9"/>
    </row>
    <row r="142" spans="1:13" x14ac:dyDescent="0.2">
      <c r="A142" s="6"/>
      <c r="B142" s="9"/>
      <c r="C142" s="9"/>
      <c r="D142" s="9"/>
      <c r="E142" s="9"/>
      <c r="F142" s="9"/>
      <c r="G142" s="9"/>
      <c r="H142" s="9"/>
      <c r="I142" s="9"/>
      <c r="J142" s="9"/>
      <c r="K142" s="9"/>
      <c r="L142" s="9"/>
      <c r="M142" s="9"/>
    </row>
    <row r="143" spans="1:13" x14ac:dyDescent="0.2">
      <c r="A143" s="6"/>
      <c r="B143" s="9"/>
      <c r="C143" s="9"/>
      <c r="D143" s="9"/>
      <c r="E143" s="9"/>
      <c r="F143" s="9"/>
      <c r="G143" s="9"/>
      <c r="H143" s="9"/>
      <c r="I143" s="9"/>
      <c r="J143" s="9"/>
      <c r="K143" s="9"/>
      <c r="L143" s="9"/>
      <c r="M143" s="9"/>
    </row>
    <row r="144" spans="1:13" x14ac:dyDescent="0.2">
      <c r="A144" s="6"/>
      <c r="B144" s="9"/>
      <c r="C144" s="9"/>
      <c r="D144" s="9"/>
      <c r="E144" s="9"/>
      <c r="F144" s="9"/>
      <c r="G144" s="9"/>
      <c r="H144" s="9"/>
      <c r="I144" s="9"/>
      <c r="J144" s="9"/>
      <c r="K144" s="9"/>
      <c r="L144" s="9"/>
      <c r="M144" s="9"/>
    </row>
    <row r="146" spans="1:13" x14ac:dyDescent="0.2">
      <c r="A146" s="5"/>
    </row>
    <row r="147" spans="1:13" x14ac:dyDescent="0.2">
      <c r="A147" s="5"/>
    </row>
    <row r="148" spans="1:13" x14ac:dyDescent="0.2">
      <c r="A148" s="5"/>
    </row>
    <row r="151" spans="1:13" x14ac:dyDescent="0.2">
      <c r="A151" s="4"/>
    </row>
    <row r="152" spans="1:13" x14ac:dyDescent="0.2">
      <c r="A152" s="5"/>
    </row>
    <row r="154" spans="1:13" x14ac:dyDescent="0.2">
      <c r="A154" s="6"/>
      <c r="B154" s="6"/>
    </row>
    <row r="155" spans="1:13" x14ac:dyDescent="0.2">
      <c r="A155" s="6"/>
      <c r="B155" s="6"/>
    </row>
    <row r="156" spans="1:13" x14ac:dyDescent="0.2">
      <c r="A156" s="6"/>
      <c r="B156" s="6"/>
    </row>
    <row r="158" spans="1:13" x14ac:dyDescent="0.2">
      <c r="A158" s="7"/>
      <c r="B158" s="8"/>
      <c r="C158" s="8"/>
      <c r="D158" s="8"/>
      <c r="E158" s="8"/>
      <c r="F158" s="8"/>
      <c r="G158" s="8"/>
      <c r="H158" s="8"/>
      <c r="I158" s="8"/>
      <c r="J158" s="8"/>
      <c r="K158" s="8"/>
      <c r="L158" s="8"/>
      <c r="M158" s="8"/>
    </row>
    <row r="159" spans="1:13" x14ac:dyDescent="0.2">
      <c r="A159" s="6"/>
      <c r="B159" s="9"/>
      <c r="C159" s="9"/>
      <c r="D159" s="9"/>
      <c r="E159" s="9"/>
      <c r="F159" s="9"/>
      <c r="G159" s="9"/>
      <c r="H159" s="9"/>
      <c r="I159" s="9"/>
      <c r="J159" s="9"/>
      <c r="K159" s="9"/>
      <c r="L159" s="9"/>
      <c r="M159" s="9"/>
    </row>
    <row r="160" spans="1:13" x14ac:dyDescent="0.2">
      <c r="A160" s="6"/>
      <c r="B160" s="9"/>
      <c r="C160" s="9"/>
      <c r="D160" s="9"/>
      <c r="E160" s="9"/>
      <c r="F160" s="9"/>
      <c r="G160" s="9"/>
      <c r="H160" s="9"/>
      <c r="I160" s="9"/>
      <c r="J160" s="9"/>
      <c r="K160" s="9"/>
      <c r="L160" s="9"/>
      <c r="M160" s="9"/>
    </row>
    <row r="161" spans="1:13" x14ac:dyDescent="0.2">
      <c r="A161" s="6"/>
      <c r="B161" s="9"/>
      <c r="C161" s="9"/>
      <c r="D161" s="9"/>
      <c r="E161" s="9"/>
      <c r="F161" s="9"/>
      <c r="G161" s="9"/>
      <c r="H161" s="9"/>
      <c r="I161" s="9"/>
      <c r="J161" s="9"/>
      <c r="K161" s="9"/>
      <c r="L161" s="9"/>
      <c r="M161" s="9"/>
    </row>
    <row r="162" spans="1:13" x14ac:dyDescent="0.2">
      <c r="A162" s="6"/>
      <c r="B162" s="9"/>
      <c r="C162" s="9"/>
      <c r="D162" s="9"/>
      <c r="E162" s="9"/>
      <c r="F162" s="9"/>
      <c r="G162" s="9"/>
      <c r="H162" s="9"/>
      <c r="I162" s="9"/>
      <c r="J162" s="9"/>
      <c r="K162" s="9"/>
      <c r="L162" s="9"/>
      <c r="M162" s="9"/>
    </row>
    <row r="163" spans="1:13" x14ac:dyDescent="0.2">
      <c r="A163" s="6"/>
      <c r="B163" s="9"/>
      <c r="C163" s="9"/>
      <c r="D163" s="9"/>
      <c r="E163" s="9"/>
      <c r="F163" s="9"/>
      <c r="G163" s="9"/>
      <c r="H163" s="9"/>
      <c r="I163" s="9"/>
      <c r="J163" s="9"/>
      <c r="K163" s="9"/>
      <c r="L163" s="9"/>
      <c r="M163" s="9"/>
    </row>
    <row r="164" spans="1:13" x14ac:dyDescent="0.2">
      <c r="A164" s="6"/>
      <c r="B164" s="9"/>
      <c r="C164" s="9"/>
      <c r="D164" s="9"/>
      <c r="E164" s="9"/>
      <c r="F164" s="9"/>
      <c r="G164" s="9"/>
      <c r="H164" s="9"/>
      <c r="I164" s="9"/>
      <c r="J164" s="9"/>
      <c r="K164" s="9"/>
      <c r="L164" s="9"/>
      <c r="M164" s="9"/>
    </row>
    <row r="165" spans="1:13" x14ac:dyDescent="0.2">
      <c r="A165" s="6"/>
      <c r="B165" s="9"/>
      <c r="C165" s="9"/>
      <c r="D165" s="9"/>
      <c r="E165" s="9"/>
      <c r="F165" s="9"/>
      <c r="G165" s="9"/>
      <c r="H165" s="9"/>
      <c r="I165" s="9"/>
      <c r="J165" s="9"/>
      <c r="K165" s="9"/>
      <c r="L165" s="9"/>
      <c r="M165" s="9"/>
    </row>
    <row r="166" spans="1:13" x14ac:dyDescent="0.2">
      <c r="A166" s="6"/>
      <c r="B166" s="9"/>
      <c r="C166" s="9"/>
      <c r="D166" s="9"/>
      <c r="E166" s="9"/>
      <c r="F166" s="9"/>
      <c r="G166" s="9"/>
      <c r="H166" s="9"/>
      <c r="I166" s="9"/>
      <c r="J166" s="9"/>
      <c r="K166" s="9"/>
      <c r="L166" s="9"/>
      <c r="M166" s="9"/>
    </row>
    <row r="167" spans="1:13" x14ac:dyDescent="0.2">
      <c r="A167" s="6"/>
      <c r="B167" s="9"/>
      <c r="C167" s="9"/>
      <c r="D167" s="9"/>
      <c r="E167" s="9"/>
      <c r="F167" s="9"/>
      <c r="G167" s="9"/>
      <c r="H167" s="9"/>
      <c r="I167" s="9"/>
      <c r="J167" s="9"/>
      <c r="K167" s="9"/>
      <c r="L167" s="9"/>
      <c r="M167" s="9"/>
    </row>
    <row r="168" spans="1:13" x14ac:dyDescent="0.2">
      <c r="A168" s="6"/>
      <c r="B168" s="9"/>
      <c r="C168" s="9"/>
      <c r="D168" s="9"/>
      <c r="E168" s="9"/>
      <c r="F168" s="9"/>
      <c r="G168" s="9"/>
      <c r="H168" s="9"/>
      <c r="I168" s="9"/>
      <c r="J168" s="9"/>
      <c r="K168" s="9"/>
      <c r="L168" s="9"/>
      <c r="M168" s="9"/>
    </row>
    <row r="169" spans="1:13" x14ac:dyDescent="0.2">
      <c r="A169" s="6"/>
      <c r="B169" s="9"/>
      <c r="C169" s="9"/>
      <c r="D169" s="9"/>
      <c r="E169" s="9"/>
      <c r="F169" s="9"/>
      <c r="G169" s="9"/>
      <c r="H169" s="9"/>
      <c r="I169" s="9"/>
      <c r="J169" s="9"/>
      <c r="K169" s="9"/>
      <c r="L169" s="9"/>
      <c r="M169" s="9"/>
    </row>
    <row r="170" spans="1:13" x14ac:dyDescent="0.2">
      <c r="A170" s="6"/>
      <c r="B170" s="9"/>
      <c r="C170" s="9"/>
      <c r="D170" s="9"/>
      <c r="E170" s="9"/>
      <c r="F170" s="9"/>
      <c r="G170" s="9"/>
      <c r="H170" s="9"/>
      <c r="I170" s="9"/>
      <c r="J170" s="9"/>
      <c r="K170" s="9"/>
      <c r="L170" s="9"/>
      <c r="M170" s="9"/>
    </row>
    <row r="171" spans="1:13" x14ac:dyDescent="0.2">
      <c r="A171" s="6"/>
      <c r="B171" s="9"/>
      <c r="C171" s="9"/>
      <c r="D171" s="9"/>
      <c r="E171" s="9"/>
      <c r="F171" s="9"/>
      <c r="G171" s="9"/>
      <c r="H171" s="9"/>
      <c r="I171" s="9"/>
      <c r="J171" s="9"/>
      <c r="K171" s="9"/>
      <c r="L171" s="9"/>
      <c r="M171" s="9"/>
    </row>
    <row r="172" spans="1:13" x14ac:dyDescent="0.2">
      <c r="A172" s="6"/>
      <c r="B172" s="9"/>
      <c r="C172" s="9"/>
      <c r="D172" s="9"/>
      <c r="E172" s="9"/>
      <c r="F172" s="9"/>
      <c r="G172" s="9"/>
      <c r="H172" s="9"/>
      <c r="I172" s="9"/>
      <c r="J172" s="9"/>
      <c r="K172" s="9"/>
      <c r="L172" s="9"/>
      <c r="M172" s="9"/>
    </row>
    <row r="173" spans="1:13" x14ac:dyDescent="0.2">
      <c r="A173" s="6"/>
      <c r="B173" s="9"/>
      <c r="C173" s="9"/>
      <c r="D173" s="9"/>
      <c r="E173" s="9"/>
      <c r="F173" s="9"/>
      <c r="G173" s="9"/>
      <c r="H173" s="9"/>
      <c r="I173" s="9"/>
      <c r="J173" s="9"/>
      <c r="K173" s="9"/>
      <c r="L173" s="9"/>
      <c r="M173" s="9"/>
    </row>
    <row r="174" spans="1:13" x14ac:dyDescent="0.2">
      <c r="A174" s="6"/>
      <c r="B174" s="9"/>
      <c r="C174" s="9"/>
      <c r="D174" s="9"/>
      <c r="E174" s="9"/>
      <c r="F174" s="9"/>
      <c r="G174" s="9"/>
      <c r="H174" s="9"/>
      <c r="I174" s="9"/>
      <c r="J174" s="9"/>
      <c r="K174" s="9"/>
      <c r="L174" s="9"/>
      <c r="M174" s="9"/>
    </row>
    <row r="176" spans="1:13" x14ac:dyDescent="0.2">
      <c r="A176" s="5"/>
    </row>
    <row r="177" spans="1:13" x14ac:dyDescent="0.2">
      <c r="A177" s="5"/>
    </row>
    <row r="178" spans="1:13" x14ac:dyDescent="0.2">
      <c r="A178" s="5"/>
    </row>
    <row r="181" spans="1:13" x14ac:dyDescent="0.2">
      <c r="A181" s="4"/>
    </row>
    <row r="182" spans="1:13" x14ac:dyDescent="0.2">
      <c r="A182" s="5"/>
    </row>
    <row r="184" spans="1:13" x14ac:dyDescent="0.2">
      <c r="A184" s="6"/>
      <c r="B184" s="6"/>
    </row>
    <row r="185" spans="1:13" x14ac:dyDescent="0.2">
      <c r="A185" s="6"/>
      <c r="B185" s="6"/>
    </row>
    <row r="186" spans="1:13" x14ac:dyDescent="0.2">
      <c r="A186" s="6"/>
      <c r="B186" s="6"/>
    </row>
    <row r="188" spans="1:13" x14ac:dyDescent="0.2">
      <c r="A188" s="7"/>
      <c r="B188" s="8"/>
      <c r="C188" s="8"/>
      <c r="D188" s="8"/>
      <c r="E188" s="8"/>
      <c r="F188" s="8"/>
      <c r="G188" s="8"/>
      <c r="H188" s="8"/>
      <c r="I188" s="8"/>
      <c r="J188" s="8"/>
      <c r="K188" s="8"/>
      <c r="L188" s="8"/>
      <c r="M188" s="8"/>
    </row>
    <row r="189" spans="1:13" x14ac:dyDescent="0.2">
      <c r="A189" s="6"/>
      <c r="B189" s="9"/>
      <c r="C189" s="9"/>
      <c r="D189" s="9"/>
      <c r="E189" s="9"/>
      <c r="F189" s="9"/>
      <c r="G189" s="9"/>
      <c r="H189" s="9"/>
      <c r="I189" s="9"/>
      <c r="J189" s="9"/>
      <c r="K189" s="9"/>
      <c r="L189" s="9"/>
      <c r="M189" s="9"/>
    </row>
    <row r="190" spans="1:13" x14ac:dyDescent="0.2">
      <c r="A190" s="6"/>
      <c r="B190" s="9"/>
      <c r="C190" s="9"/>
      <c r="D190" s="9"/>
      <c r="E190" s="9"/>
      <c r="F190" s="9"/>
      <c r="G190" s="9"/>
      <c r="H190" s="9"/>
      <c r="I190" s="9"/>
      <c r="J190" s="9"/>
      <c r="K190" s="9"/>
      <c r="L190" s="9"/>
      <c r="M190" s="9"/>
    </row>
    <row r="191" spans="1:13" x14ac:dyDescent="0.2">
      <c r="A191" s="6"/>
      <c r="B191" s="9"/>
      <c r="C191" s="9"/>
      <c r="D191" s="9"/>
      <c r="E191" s="9"/>
      <c r="F191" s="9"/>
      <c r="G191" s="9"/>
      <c r="H191" s="9"/>
      <c r="I191" s="9"/>
      <c r="J191" s="9"/>
      <c r="K191" s="9"/>
      <c r="L191" s="9"/>
      <c r="M191" s="9"/>
    </row>
    <row r="192" spans="1:13" x14ac:dyDescent="0.2">
      <c r="A192" s="6"/>
      <c r="B192" s="9"/>
      <c r="C192" s="9"/>
      <c r="D192" s="9"/>
      <c r="E192" s="9"/>
      <c r="F192" s="9"/>
      <c r="G192" s="9"/>
      <c r="H192" s="9"/>
      <c r="I192" s="9"/>
      <c r="J192" s="9"/>
      <c r="K192" s="9"/>
      <c r="L192" s="9"/>
      <c r="M192" s="9"/>
    </row>
    <row r="193" spans="1:13" x14ac:dyDescent="0.2">
      <c r="A193" s="6"/>
      <c r="B193" s="9"/>
      <c r="C193" s="9"/>
      <c r="D193" s="9"/>
      <c r="E193" s="9"/>
      <c r="F193" s="9"/>
      <c r="G193" s="9"/>
      <c r="H193" s="9"/>
      <c r="I193" s="9"/>
      <c r="J193" s="9"/>
      <c r="K193" s="9"/>
      <c r="L193" s="9"/>
      <c r="M193" s="9"/>
    </row>
    <row r="194" spans="1:13" x14ac:dyDescent="0.2">
      <c r="A194" s="6"/>
      <c r="B194" s="9"/>
      <c r="C194" s="9"/>
      <c r="D194" s="9"/>
      <c r="E194" s="9"/>
      <c r="F194" s="9"/>
      <c r="G194" s="9"/>
      <c r="H194" s="9"/>
      <c r="I194" s="9"/>
      <c r="J194" s="9"/>
      <c r="K194" s="9"/>
      <c r="L194" s="9"/>
      <c r="M194" s="9"/>
    </row>
    <row r="195" spans="1:13" x14ac:dyDescent="0.2">
      <c r="A195" s="6"/>
      <c r="B195" s="9"/>
      <c r="C195" s="9"/>
      <c r="D195" s="9"/>
      <c r="E195" s="9"/>
      <c r="F195" s="9"/>
      <c r="G195" s="9"/>
      <c r="H195" s="9"/>
      <c r="I195" s="9"/>
      <c r="J195" s="9"/>
      <c r="K195" s="9"/>
      <c r="L195" s="9"/>
      <c r="M195" s="9"/>
    </row>
    <row r="196" spans="1:13" x14ac:dyDescent="0.2">
      <c r="A196" s="6"/>
      <c r="B196" s="9"/>
      <c r="C196" s="9"/>
      <c r="D196" s="9"/>
      <c r="E196" s="9"/>
      <c r="F196" s="9"/>
      <c r="G196" s="9"/>
      <c r="H196" s="9"/>
      <c r="I196" s="9"/>
      <c r="J196" s="9"/>
      <c r="K196" s="9"/>
      <c r="L196" s="9"/>
      <c r="M196" s="9"/>
    </row>
    <row r="197" spans="1:13" x14ac:dyDescent="0.2">
      <c r="A197" s="6"/>
      <c r="B197" s="9"/>
      <c r="C197" s="9"/>
      <c r="D197" s="9"/>
      <c r="E197" s="9"/>
      <c r="F197" s="9"/>
      <c r="G197" s="9"/>
      <c r="H197" s="9"/>
      <c r="I197" s="9"/>
      <c r="J197" s="9"/>
      <c r="K197" s="9"/>
      <c r="L197" s="9"/>
      <c r="M197" s="9"/>
    </row>
    <row r="198" spans="1:13" x14ac:dyDescent="0.2">
      <c r="A198" s="6"/>
      <c r="B198" s="9"/>
      <c r="C198" s="9"/>
      <c r="D198" s="9"/>
      <c r="E198" s="9"/>
      <c r="F198" s="9"/>
      <c r="G198" s="9"/>
      <c r="H198" s="9"/>
      <c r="I198" s="9"/>
      <c r="J198" s="9"/>
      <c r="K198" s="9"/>
      <c r="L198" s="9"/>
      <c r="M198" s="9"/>
    </row>
    <row r="199" spans="1:13" x14ac:dyDescent="0.2">
      <c r="A199" s="6"/>
      <c r="B199" s="9"/>
      <c r="C199" s="9"/>
      <c r="D199" s="9"/>
      <c r="E199" s="9"/>
      <c r="F199" s="9"/>
      <c r="G199" s="9"/>
      <c r="H199" s="9"/>
      <c r="I199" s="9"/>
      <c r="J199" s="9"/>
      <c r="K199" s="9"/>
      <c r="L199" s="9"/>
      <c r="M199" s="9"/>
    </row>
    <row r="200" spans="1:13" x14ac:dyDescent="0.2">
      <c r="A200" s="6"/>
      <c r="B200" s="9"/>
      <c r="C200" s="9"/>
      <c r="D200" s="9"/>
      <c r="E200" s="9"/>
      <c r="F200" s="9"/>
      <c r="G200" s="9"/>
      <c r="H200" s="9"/>
      <c r="I200" s="9"/>
      <c r="J200" s="9"/>
      <c r="K200" s="9"/>
      <c r="L200" s="9"/>
      <c r="M200" s="9"/>
    </row>
    <row r="201" spans="1:13" x14ac:dyDescent="0.2">
      <c r="A201" s="6"/>
      <c r="B201" s="9"/>
      <c r="C201" s="9"/>
      <c r="D201" s="9"/>
      <c r="E201" s="9"/>
      <c r="F201" s="9"/>
      <c r="G201" s="9"/>
      <c r="H201" s="9"/>
      <c r="I201" s="9"/>
      <c r="J201" s="9"/>
      <c r="K201" s="9"/>
      <c r="L201" s="9"/>
      <c r="M201" s="9"/>
    </row>
    <row r="202" spans="1:13" x14ac:dyDescent="0.2">
      <c r="A202" s="6"/>
      <c r="B202" s="9"/>
      <c r="C202" s="9"/>
      <c r="D202" s="9"/>
      <c r="E202" s="9"/>
      <c r="F202" s="9"/>
      <c r="G202" s="9"/>
      <c r="H202" s="9"/>
      <c r="I202" s="9"/>
      <c r="J202" s="9"/>
      <c r="K202" s="9"/>
      <c r="L202" s="9"/>
      <c r="M202" s="9"/>
    </row>
    <row r="203" spans="1:13" x14ac:dyDescent="0.2">
      <c r="A203" s="6"/>
      <c r="B203" s="9"/>
      <c r="C203" s="9"/>
      <c r="D203" s="9"/>
      <c r="E203" s="9"/>
      <c r="F203" s="9"/>
      <c r="G203" s="9"/>
      <c r="H203" s="9"/>
      <c r="I203" s="9"/>
      <c r="J203" s="9"/>
      <c r="K203" s="9"/>
      <c r="L203" s="9"/>
      <c r="M203" s="9"/>
    </row>
    <row r="204" spans="1:13" x14ac:dyDescent="0.2">
      <c r="A204" s="6"/>
      <c r="B204" s="9"/>
      <c r="C204" s="9"/>
      <c r="D204" s="9"/>
      <c r="E204" s="9"/>
      <c r="F204" s="9"/>
      <c r="G204" s="9"/>
      <c r="H204" s="9"/>
      <c r="I204" s="9"/>
      <c r="J204" s="9"/>
      <c r="K204" s="9"/>
      <c r="L204" s="9"/>
      <c r="M204" s="9"/>
    </row>
    <row r="206" spans="1:13" x14ac:dyDescent="0.2">
      <c r="A206" s="5"/>
    </row>
    <row r="207" spans="1:13" x14ac:dyDescent="0.2">
      <c r="A207" s="5"/>
    </row>
    <row r="208" spans="1:13" x14ac:dyDescent="0.2">
      <c r="A208" s="5"/>
    </row>
    <row r="211" spans="1:13" x14ac:dyDescent="0.2">
      <c r="A211" s="4"/>
    </row>
    <row r="212" spans="1:13" x14ac:dyDescent="0.2">
      <c r="A212" s="5"/>
    </row>
    <row r="214" spans="1:13" x14ac:dyDescent="0.2">
      <c r="A214" s="6"/>
      <c r="B214" s="6"/>
    </row>
    <row r="215" spans="1:13" x14ac:dyDescent="0.2">
      <c r="A215" s="6"/>
      <c r="B215" s="6"/>
    </row>
    <row r="216" spans="1:13" x14ac:dyDescent="0.2">
      <c r="A216" s="6"/>
      <c r="B216" s="6"/>
    </row>
    <row r="218" spans="1:13" x14ac:dyDescent="0.2">
      <c r="A218" s="7"/>
      <c r="B218" s="8"/>
      <c r="C218" s="8"/>
      <c r="D218" s="8"/>
      <c r="E218" s="8"/>
      <c r="F218" s="8"/>
      <c r="G218" s="8"/>
      <c r="H218" s="8"/>
      <c r="I218" s="8"/>
      <c r="J218" s="8"/>
      <c r="K218" s="8"/>
      <c r="L218" s="8"/>
      <c r="M218" s="8"/>
    </row>
    <row r="219" spans="1:13" x14ac:dyDescent="0.2">
      <c r="A219" s="6"/>
      <c r="B219" s="9"/>
      <c r="C219" s="9"/>
      <c r="D219" s="9"/>
      <c r="E219" s="9"/>
      <c r="F219" s="9"/>
      <c r="G219" s="9"/>
      <c r="H219" s="9"/>
      <c r="I219" s="9"/>
      <c r="J219" s="9"/>
      <c r="K219" s="9"/>
      <c r="L219" s="9"/>
      <c r="M219" s="9"/>
    </row>
    <row r="220" spans="1:13" x14ac:dyDescent="0.2">
      <c r="A220" s="6"/>
      <c r="B220" s="9"/>
      <c r="C220" s="9"/>
      <c r="D220" s="9"/>
      <c r="E220" s="9"/>
      <c r="F220" s="9"/>
      <c r="G220" s="9"/>
      <c r="H220" s="9"/>
      <c r="I220" s="9"/>
      <c r="J220" s="9"/>
      <c r="K220" s="9"/>
      <c r="L220" s="9"/>
      <c r="M220" s="9"/>
    </row>
    <row r="221" spans="1:13" x14ac:dyDescent="0.2">
      <c r="A221" s="6"/>
      <c r="B221" s="9"/>
      <c r="C221" s="9"/>
      <c r="D221" s="9"/>
      <c r="E221" s="9"/>
      <c r="F221" s="9"/>
      <c r="G221" s="9"/>
      <c r="H221" s="9"/>
      <c r="I221" s="9"/>
      <c r="J221" s="9"/>
      <c r="K221" s="9"/>
      <c r="L221" s="9"/>
      <c r="M221" s="9"/>
    </row>
    <row r="222" spans="1:13" x14ac:dyDescent="0.2">
      <c r="A222" s="6"/>
      <c r="B222" s="9"/>
      <c r="C222" s="9"/>
      <c r="D222" s="9"/>
      <c r="E222" s="9"/>
      <c r="F222" s="9"/>
      <c r="G222" s="9"/>
      <c r="H222" s="9"/>
      <c r="I222" s="9"/>
      <c r="J222" s="9"/>
      <c r="K222" s="9"/>
      <c r="L222" s="9"/>
      <c r="M222" s="9"/>
    </row>
    <row r="223" spans="1:13" x14ac:dyDescent="0.2">
      <c r="A223" s="6"/>
      <c r="B223" s="9"/>
      <c r="C223" s="9"/>
      <c r="D223" s="9"/>
      <c r="E223" s="9"/>
      <c r="F223" s="9"/>
      <c r="G223" s="9"/>
      <c r="H223" s="9"/>
      <c r="I223" s="9"/>
      <c r="J223" s="9"/>
      <c r="K223" s="9"/>
      <c r="L223" s="9"/>
      <c r="M223" s="9"/>
    </row>
    <row r="224" spans="1:13" x14ac:dyDescent="0.2">
      <c r="A224" s="6"/>
      <c r="B224" s="9"/>
      <c r="C224" s="9"/>
      <c r="D224" s="9"/>
      <c r="E224" s="9"/>
      <c r="F224" s="9"/>
      <c r="G224" s="9"/>
      <c r="H224" s="9"/>
      <c r="I224" s="9"/>
      <c r="J224" s="9"/>
      <c r="K224" s="9"/>
      <c r="L224" s="9"/>
      <c r="M224" s="9"/>
    </row>
    <row r="225" spans="1:13" x14ac:dyDescent="0.2">
      <c r="A225" s="6"/>
      <c r="B225" s="9"/>
      <c r="C225" s="9"/>
      <c r="D225" s="9"/>
      <c r="E225" s="9"/>
      <c r="F225" s="9"/>
      <c r="G225" s="9"/>
      <c r="H225" s="9"/>
      <c r="I225" s="9"/>
      <c r="J225" s="9"/>
      <c r="K225" s="9"/>
      <c r="L225" s="9"/>
      <c r="M225" s="9"/>
    </row>
    <row r="226" spans="1:13" x14ac:dyDescent="0.2">
      <c r="A226" s="6"/>
      <c r="B226" s="9"/>
      <c r="C226" s="9"/>
      <c r="D226" s="9"/>
      <c r="E226" s="9"/>
      <c r="F226" s="9"/>
      <c r="G226" s="9"/>
      <c r="H226" s="9"/>
      <c r="I226" s="9"/>
      <c r="J226" s="9"/>
      <c r="K226" s="9"/>
      <c r="L226" s="9"/>
      <c r="M226" s="9"/>
    </row>
    <row r="227" spans="1:13" x14ac:dyDescent="0.2">
      <c r="A227" s="6"/>
      <c r="B227" s="9"/>
      <c r="C227" s="9"/>
      <c r="D227" s="9"/>
      <c r="E227" s="9"/>
      <c r="F227" s="9"/>
      <c r="G227" s="9"/>
      <c r="H227" s="9"/>
      <c r="I227" s="9"/>
      <c r="J227" s="9"/>
      <c r="K227" s="9"/>
      <c r="L227" s="9"/>
      <c r="M227" s="9"/>
    </row>
    <row r="228" spans="1:13" x14ac:dyDescent="0.2">
      <c r="A228" s="6"/>
      <c r="B228" s="9"/>
      <c r="C228" s="9"/>
      <c r="D228" s="9"/>
      <c r="E228" s="9"/>
      <c r="F228" s="9"/>
      <c r="G228" s="9"/>
      <c r="H228" s="9"/>
      <c r="I228" s="9"/>
      <c r="J228" s="9"/>
      <c r="K228" s="9"/>
      <c r="L228" s="9"/>
      <c r="M228" s="9"/>
    </row>
    <row r="229" spans="1:13" x14ac:dyDescent="0.2">
      <c r="A229" s="6"/>
      <c r="B229" s="9"/>
      <c r="C229" s="9"/>
      <c r="D229" s="9"/>
      <c r="E229" s="9"/>
      <c r="F229" s="9"/>
      <c r="G229" s="9"/>
      <c r="H229" s="9"/>
      <c r="I229" s="9"/>
      <c r="J229" s="9"/>
      <c r="K229" s="9"/>
      <c r="L229" s="9"/>
      <c r="M229" s="9"/>
    </row>
    <row r="230" spans="1:13" x14ac:dyDescent="0.2">
      <c r="A230" s="6"/>
      <c r="B230" s="9"/>
      <c r="C230" s="9"/>
      <c r="D230" s="9"/>
      <c r="E230" s="9"/>
      <c r="F230" s="9"/>
      <c r="G230" s="9"/>
      <c r="H230" s="9"/>
      <c r="I230" s="9"/>
      <c r="J230" s="9"/>
      <c r="K230" s="9"/>
      <c r="L230" s="9"/>
      <c r="M230" s="9"/>
    </row>
    <row r="231" spans="1:13" x14ac:dyDescent="0.2">
      <c r="A231" s="6"/>
      <c r="B231" s="9"/>
      <c r="C231" s="9"/>
      <c r="D231" s="9"/>
      <c r="E231" s="9"/>
      <c r="F231" s="9"/>
      <c r="G231" s="9"/>
      <c r="H231" s="9"/>
      <c r="I231" s="9"/>
      <c r="J231" s="9"/>
      <c r="K231" s="9"/>
      <c r="L231" s="9"/>
      <c r="M231" s="9"/>
    </row>
    <row r="232" spans="1:13" x14ac:dyDescent="0.2">
      <c r="A232" s="6"/>
      <c r="B232" s="9"/>
      <c r="C232" s="9"/>
      <c r="D232" s="9"/>
      <c r="E232" s="9"/>
      <c r="F232" s="9"/>
      <c r="G232" s="9"/>
      <c r="H232" s="9"/>
      <c r="I232" s="9"/>
      <c r="J232" s="9"/>
      <c r="K232" s="9"/>
      <c r="L232" s="9"/>
      <c r="M232" s="9"/>
    </row>
    <row r="233" spans="1:13" x14ac:dyDescent="0.2">
      <c r="A233" s="6"/>
      <c r="B233" s="9"/>
      <c r="C233" s="9"/>
      <c r="D233" s="9"/>
      <c r="E233" s="9"/>
      <c r="F233" s="9"/>
      <c r="G233" s="9"/>
      <c r="H233" s="9"/>
      <c r="I233" s="9"/>
      <c r="J233" s="9"/>
      <c r="K233" s="9"/>
      <c r="L233" s="9"/>
      <c r="M233" s="9"/>
    </row>
    <row r="234" spans="1:13" x14ac:dyDescent="0.2">
      <c r="A234" s="6"/>
      <c r="B234" s="9"/>
      <c r="C234" s="9"/>
      <c r="D234" s="9"/>
      <c r="E234" s="9"/>
      <c r="F234" s="9"/>
      <c r="G234" s="9"/>
      <c r="H234" s="9"/>
      <c r="I234" s="9"/>
      <c r="J234" s="9"/>
      <c r="K234" s="9"/>
      <c r="L234" s="9"/>
      <c r="M234" s="9"/>
    </row>
    <row r="236" spans="1:13" x14ac:dyDescent="0.2">
      <c r="A236" s="5"/>
    </row>
    <row r="237" spans="1:13" x14ac:dyDescent="0.2">
      <c r="A237" s="5"/>
    </row>
    <row r="238" spans="1:13" x14ac:dyDescent="0.2">
      <c r="A238" s="5"/>
    </row>
    <row r="241" spans="1:13" x14ac:dyDescent="0.2">
      <c r="A241" s="4"/>
    </row>
    <row r="242" spans="1:13" x14ac:dyDescent="0.2">
      <c r="A242" s="5"/>
    </row>
    <row r="244" spans="1:13" x14ac:dyDescent="0.2">
      <c r="A244" s="6"/>
      <c r="B244" s="6"/>
    </row>
    <row r="245" spans="1:13" x14ac:dyDescent="0.2">
      <c r="A245" s="6"/>
      <c r="B245" s="6"/>
    </row>
    <row r="246" spans="1:13" x14ac:dyDescent="0.2">
      <c r="A246" s="6"/>
      <c r="B246" s="6"/>
    </row>
    <row r="248" spans="1:13" x14ac:dyDescent="0.2">
      <c r="A248" s="7"/>
      <c r="B248" s="8"/>
      <c r="C248" s="8"/>
      <c r="D248" s="8"/>
      <c r="E248" s="8"/>
      <c r="F248" s="8"/>
      <c r="G248" s="8"/>
      <c r="H248" s="8"/>
      <c r="I248" s="8"/>
      <c r="J248" s="8"/>
      <c r="K248" s="8"/>
      <c r="L248" s="8"/>
      <c r="M248" s="8"/>
    </row>
    <row r="249" spans="1:13" x14ac:dyDescent="0.2">
      <c r="A249" s="6"/>
      <c r="B249" s="9"/>
      <c r="C249" s="9"/>
      <c r="D249" s="9"/>
      <c r="E249" s="9"/>
      <c r="F249" s="9"/>
      <c r="G249" s="9"/>
      <c r="H249" s="9"/>
      <c r="I249" s="9"/>
      <c r="J249" s="9"/>
      <c r="K249" s="9"/>
      <c r="L249" s="9"/>
      <c r="M249" s="9"/>
    </row>
    <row r="250" spans="1:13" x14ac:dyDescent="0.2">
      <c r="A250" s="6"/>
      <c r="B250" s="9"/>
      <c r="C250" s="9"/>
      <c r="D250" s="9"/>
      <c r="E250" s="9"/>
      <c r="F250" s="9"/>
      <c r="G250" s="9"/>
      <c r="H250" s="9"/>
      <c r="I250" s="9"/>
      <c r="J250" s="9"/>
      <c r="K250" s="9"/>
      <c r="L250" s="9"/>
      <c r="M250" s="9"/>
    </row>
    <row r="251" spans="1:13" x14ac:dyDescent="0.2">
      <c r="A251" s="6"/>
      <c r="B251" s="9"/>
      <c r="C251" s="9"/>
      <c r="D251" s="9"/>
      <c r="E251" s="9"/>
      <c r="F251" s="9"/>
      <c r="G251" s="9"/>
      <c r="H251" s="9"/>
      <c r="I251" s="9"/>
      <c r="J251" s="9"/>
      <c r="K251" s="9"/>
      <c r="L251" s="9"/>
      <c r="M251" s="9"/>
    </row>
    <row r="252" spans="1:13" x14ac:dyDescent="0.2">
      <c r="A252" s="6"/>
      <c r="B252" s="9"/>
      <c r="C252" s="9"/>
      <c r="D252" s="9"/>
      <c r="E252" s="9"/>
      <c r="F252" s="9"/>
      <c r="G252" s="9"/>
      <c r="H252" s="9"/>
      <c r="I252" s="9"/>
      <c r="J252" s="9"/>
      <c r="K252" s="9"/>
      <c r="L252" s="9"/>
      <c r="M252" s="9"/>
    </row>
    <row r="253" spans="1:13" x14ac:dyDescent="0.2">
      <c r="A253" s="6"/>
      <c r="B253" s="9"/>
      <c r="C253" s="9"/>
      <c r="D253" s="9"/>
      <c r="E253" s="9"/>
      <c r="F253" s="9"/>
      <c r="G253" s="9"/>
      <c r="H253" s="9"/>
      <c r="I253" s="9"/>
      <c r="J253" s="9"/>
      <c r="K253" s="9"/>
      <c r="L253" s="9"/>
      <c r="M253" s="9"/>
    </row>
    <row r="254" spans="1:13" x14ac:dyDescent="0.2">
      <c r="A254" s="6"/>
      <c r="B254" s="9"/>
      <c r="C254" s="9"/>
      <c r="D254" s="9"/>
      <c r="E254" s="9"/>
      <c r="F254" s="9"/>
      <c r="G254" s="9"/>
      <c r="H254" s="9"/>
      <c r="I254" s="9"/>
      <c r="J254" s="9"/>
      <c r="K254" s="9"/>
      <c r="L254" s="9"/>
      <c r="M254" s="9"/>
    </row>
    <row r="255" spans="1:13" x14ac:dyDescent="0.2">
      <c r="A255" s="6"/>
      <c r="B255" s="9"/>
      <c r="C255" s="9"/>
      <c r="D255" s="9"/>
      <c r="E255" s="9"/>
      <c r="F255" s="9"/>
      <c r="G255" s="9"/>
      <c r="H255" s="9"/>
      <c r="I255" s="9"/>
      <c r="J255" s="9"/>
      <c r="K255" s="9"/>
      <c r="L255" s="9"/>
      <c r="M255" s="9"/>
    </row>
    <row r="256" spans="1:13" x14ac:dyDescent="0.2">
      <c r="A256" s="6"/>
      <c r="B256" s="9"/>
      <c r="C256" s="9"/>
      <c r="D256" s="9"/>
      <c r="E256" s="9"/>
      <c r="F256" s="9"/>
      <c r="G256" s="9"/>
      <c r="H256" s="9"/>
      <c r="I256" s="9"/>
      <c r="J256" s="9"/>
      <c r="K256" s="9"/>
      <c r="L256" s="9"/>
      <c r="M256" s="9"/>
    </row>
    <row r="257" spans="1:13" x14ac:dyDescent="0.2">
      <c r="A257" s="6"/>
      <c r="B257" s="9"/>
      <c r="C257" s="9"/>
      <c r="D257" s="9"/>
      <c r="E257" s="9"/>
      <c r="F257" s="9"/>
      <c r="G257" s="9"/>
      <c r="H257" s="9"/>
      <c r="I257" s="9"/>
      <c r="J257" s="9"/>
      <c r="K257" s="9"/>
      <c r="L257" s="9"/>
      <c r="M257" s="9"/>
    </row>
    <row r="258" spans="1:13" x14ac:dyDescent="0.2">
      <c r="A258" s="6"/>
      <c r="B258" s="9"/>
      <c r="C258" s="9"/>
      <c r="D258" s="9"/>
      <c r="E258" s="9"/>
      <c r="F258" s="9"/>
      <c r="G258" s="9"/>
      <c r="H258" s="9"/>
      <c r="I258" s="9"/>
      <c r="J258" s="9"/>
      <c r="K258" s="9"/>
      <c r="L258" s="9"/>
      <c r="M258" s="9"/>
    </row>
    <row r="259" spans="1:13" x14ac:dyDescent="0.2">
      <c r="A259" s="6"/>
      <c r="B259" s="9"/>
      <c r="C259" s="9"/>
      <c r="D259" s="9"/>
      <c r="E259" s="9"/>
      <c r="F259" s="9"/>
      <c r="G259" s="9"/>
      <c r="H259" s="9"/>
      <c r="I259" s="9"/>
      <c r="J259" s="9"/>
      <c r="K259" s="9"/>
      <c r="L259" s="9"/>
      <c r="M259" s="9"/>
    </row>
    <row r="260" spans="1:13" x14ac:dyDescent="0.2">
      <c r="A260" s="6"/>
      <c r="B260" s="9"/>
      <c r="C260" s="9"/>
      <c r="D260" s="9"/>
      <c r="E260" s="9"/>
      <c r="F260" s="9"/>
      <c r="G260" s="9"/>
      <c r="H260" s="9"/>
      <c r="I260" s="9"/>
      <c r="J260" s="9"/>
      <c r="K260" s="9"/>
      <c r="L260" s="9"/>
      <c r="M260" s="9"/>
    </row>
    <row r="261" spans="1:13" x14ac:dyDescent="0.2">
      <c r="A261" s="6"/>
      <c r="B261" s="9"/>
      <c r="C261" s="9"/>
      <c r="D261" s="9"/>
      <c r="E261" s="9"/>
      <c r="F261" s="9"/>
      <c r="G261" s="9"/>
      <c r="H261" s="9"/>
      <c r="I261" s="9"/>
      <c r="J261" s="9"/>
      <c r="K261" s="9"/>
      <c r="L261" s="9"/>
      <c r="M261" s="9"/>
    </row>
    <row r="262" spans="1:13" x14ac:dyDescent="0.2">
      <c r="A262" s="6"/>
      <c r="B262" s="9"/>
      <c r="C262" s="9"/>
      <c r="D262" s="9"/>
      <c r="E262" s="9"/>
      <c r="F262" s="9"/>
      <c r="G262" s="9"/>
      <c r="H262" s="9"/>
      <c r="I262" s="9"/>
      <c r="J262" s="9"/>
      <c r="K262" s="9"/>
      <c r="L262" s="9"/>
      <c r="M262" s="9"/>
    </row>
    <row r="263" spans="1:13" x14ac:dyDescent="0.2">
      <c r="A263" s="6"/>
      <c r="B263" s="9"/>
      <c r="C263" s="9"/>
      <c r="D263" s="9"/>
      <c r="E263" s="9"/>
      <c r="F263" s="9"/>
      <c r="G263" s="9"/>
      <c r="H263" s="9"/>
      <c r="I263" s="9"/>
      <c r="J263" s="9"/>
      <c r="K263" s="9"/>
      <c r="L263" s="9"/>
      <c r="M263" s="9"/>
    </row>
    <row r="264" spans="1:13" x14ac:dyDescent="0.2">
      <c r="A264" s="6"/>
      <c r="B264" s="9"/>
      <c r="C264" s="9"/>
      <c r="D264" s="9"/>
      <c r="E264" s="9"/>
      <c r="F264" s="9"/>
      <c r="G264" s="9"/>
      <c r="H264" s="9"/>
      <c r="I264" s="9"/>
      <c r="J264" s="9"/>
      <c r="K264" s="9"/>
      <c r="L264" s="9"/>
      <c r="M264" s="9"/>
    </row>
    <row r="266" spans="1:13" x14ac:dyDescent="0.2">
      <c r="A266" s="5"/>
    </row>
    <row r="267" spans="1:13" x14ac:dyDescent="0.2">
      <c r="A267" s="5"/>
    </row>
    <row r="268" spans="1:13" x14ac:dyDescent="0.2">
      <c r="A268" s="5"/>
    </row>
    <row r="271" spans="1:13" x14ac:dyDescent="0.2">
      <c r="A271" s="4"/>
    </row>
    <row r="272" spans="1:13" x14ac:dyDescent="0.2">
      <c r="A272" s="5"/>
    </row>
    <row r="274" spans="1:13" x14ac:dyDescent="0.2">
      <c r="A274" s="6"/>
      <c r="B274" s="6"/>
    </row>
    <row r="275" spans="1:13" x14ac:dyDescent="0.2">
      <c r="A275" s="6"/>
      <c r="B275" s="6"/>
    </row>
    <row r="276" spans="1:13" x14ac:dyDescent="0.2">
      <c r="A276" s="6"/>
      <c r="B276" s="6"/>
    </row>
    <row r="278" spans="1:13" x14ac:dyDescent="0.2">
      <c r="A278" s="7"/>
      <c r="B278" s="8"/>
      <c r="C278" s="8"/>
      <c r="D278" s="8"/>
      <c r="E278" s="8"/>
      <c r="F278" s="8"/>
      <c r="G278" s="8"/>
      <c r="H278" s="8"/>
      <c r="I278" s="8"/>
      <c r="J278" s="8"/>
      <c r="K278" s="8"/>
      <c r="L278" s="8"/>
      <c r="M278" s="8"/>
    </row>
    <row r="279" spans="1:13" x14ac:dyDescent="0.2">
      <c r="A279" s="6"/>
      <c r="B279" s="9"/>
      <c r="C279" s="9"/>
      <c r="D279" s="9"/>
      <c r="E279" s="9"/>
      <c r="F279" s="9"/>
      <c r="G279" s="9"/>
      <c r="H279" s="9"/>
      <c r="I279" s="9"/>
      <c r="J279" s="9"/>
      <c r="K279" s="9"/>
      <c r="L279" s="9"/>
      <c r="M279" s="9"/>
    </row>
    <row r="280" spans="1:13" x14ac:dyDescent="0.2">
      <c r="A280" s="6"/>
      <c r="B280" s="9"/>
      <c r="C280" s="9"/>
      <c r="D280" s="9"/>
      <c r="E280" s="9"/>
      <c r="F280" s="9"/>
      <c r="G280" s="9"/>
      <c r="H280" s="9"/>
      <c r="I280" s="9"/>
      <c r="J280" s="9"/>
      <c r="K280" s="9"/>
      <c r="L280" s="9"/>
      <c r="M280" s="9"/>
    </row>
    <row r="281" spans="1:13" x14ac:dyDescent="0.2">
      <c r="A281" s="6"/>
      <c r="B281" s="9"/>
      <c r="C281" s="9"/>
      <c r="D281" s="9"/>
      <c r="E281" s="9"/>
      <c r="F281" s="9"/>
      <c r="G281" s="9"/>
      <c r="H281" s="9"/>
      <c r="I281" s="9"/>
      <c r="J281" s="9"/>
      <c r="K281" s="9"/>
      <c r="L281" s="9"/>
      <c r="M281" s="9"/>
    </row>
    <row r="282" spans="1:13" x14ac:dyDescent="0.2">
      <c r="A282" s="6"/>
      <c r="B282" s="9"/>
      <c r="C282" s="9"/>
      <c r="D282" s="9"/>
      <c r="E282" s="9"/>
      <c r="F282" s="9"/>
      <c r="G282" s="9"/>
      <c r="H282" s="9"/>
      <c r="I282" s="9"/>
      <c r="J282" s="9"/>
      <c r="K282" s="9"/>
      <c r="L282" s="9"/>
      <c r="M282" s="9"/>
    </row>
    <row r="283" spans="1:13" x14ac:dyDescent="0.2">
      <c r="A283" s="6"/>
      <c r="B283" s="9"/>
      <c r="C283" s="9"/>
      <c r="D283" s="9"/>
      <c r="E283" s="9"/>
      <c r="F283" s="9"/>
      <c r="G283" s="9"/>
      <c r="H283" s="9"/>
      <c r="I283" s="9"/>
      <c r="J283" s="9"/>
      <c r="K283" s="9"/>
      <c r="L283" s="9"/>
      <c r="M283" s="9"/>
    </row>
    <row r="284" spans="1:13" x14ac:dyDescent="0.2">
      <c r="A284" s="6"/>
      <c r="B284" s="9"/>
      <c r="C284" s="9"/>
      <c r="D284" s="9"/>
      <c r="E284" s="9"/>
      <c r="F284" s="9"/>
      <c r="G284" s="9"/>
      <c r="H284" s="9"/>
      <c r="I284" s="9"/>
      <c r="J284" s="9"/>
      <c r="K284" s="9"/>
      <c r="L284" s="9"/>
      <c r="M284" s="9"/>
    </row>
    <row r="285" spans="1:13" x14ac:dyDescent="0.2">
      <c r="A285" s="6"/>
      <c r="B285" s="9"/>
      <c r="C285" s="9"/>
      <c r="D285" s="9"/>
      <c r="E285" s="9"/>
      <c r="F285" s="9"/>
      <c r="G285" s="9"/>
      <c r="H285" s="9"/>
      <c r="I285" s="9"/>
      <c r="J285" s="9"/>
      <c r="K285" s="9"/>
      <c r="L285" s="9"/>
      <c r="M285" s="9"/>
    </row>
    <row r="286" spans="1:13" x14ac:dyDescent="0.2">
      <c r="A286" s="6"/>
      <c r="B286" s="9"/>
      <c r="C286" s="9"/>
      <c r="D286" s="9"/>
      <c r="E286" s="9"/>
      <c r="F286" s="9"/>
      <c r="G286" s="9"/>
      <c r="H286" s="9"/>
      <c r="I286" s="9"/>
      <c r="J286" s="9"/>
      <c r="K286" s="9"/>
      <c r="L286" s="9"/>
      <c r="M286" s="9"/>
    </row>
    <row r="287" spans="1:13" x14ac:dyDescent="0.2">
      <c r="A287" s="6"/>
      <c r="B287" s="9"/>
      <c r="C287" s="9"/>
      <c r="D287" s="9"/>
      <c r="E287" s="9"/>
      <c r="F287" s="9"/>
      <c r="G287" s="9"/>
      <c r="H287" s="9"/>
      <c r="I287" s="9"/>
      <c r="J287" s="9"/>
      <c r="K287" s="9"/>
      <c r="L287" s="9"/>
      <c r="M287" s="9"/>
    </row>
    <row r="288" spans="1:13" x14ac:dyDescent="0.2">
      <c r="A288" s="6"/>
      <c r="B288" s="9"/>
      <c r="C288" s="9"/>
      <c r="D288" s="9"/>
      <c r="E288" s="9"/>
      <c r="F288" s="9"/>
      <c r="G288" s="9"/>
      <c r="H288" s="9"/>
      <c r="I288" s="9"/>
      <c r="J288" s="9"/>
      <c r="K288" s="9"/>
      <c r="L288" s="9"/>
      <c r="M288" s="9"/>
    </row>
    <row r="289" spans="1:13" x14ac:dyDescent="0.2">
      <c r="A289" s="6"/>
      <c r="B289" s="9"/>
      <c r="C289" s="9"/>
      <c r="D289" s="9"/>
      <c r="E289" s="9"/>
      <c r="F289" s="9"/>
      <c r="G289" s="9"/>
      <c r="H289" s="9"/>
      <c r="I289" s="9"/>
      <c r="J289" s="9"/>
      <c r="K289" s="9"/>
      <c r="L289" s="9"/>
      <c r="M289" s="9"/>
    </row>
    <row r="290" spans="1:13" x14ac:dyDescent="0.2">
      <c r="A290" s="6"/>
      <c r="B290" s="9"/>
      <c r="C290" s="9"/>
      <c r="D290" s="9"/>
      <c r="E290" s="9"/>
      <c r="F290" s="9"/>
      <c r="G290" s="9"/>
      <c r="H290" s="9"/>
      <c r="I290" s="9"/>
      <c r="J290" s="9"/>
      <c r="K290" s="9"/>
      <c r="L290" s="9"/>
      <c r="M290" s="9"/>
    </row>
    <row r="291" spans="1:13" x14ac:dyDescent="0.2">
      <c r="A291" s="6"/>
      <c r="B291" s="9"/>
      <c r="C291" s="9"/>
      <c r="D291" s="9"/>
      <c r="E291" s="9"/>
      <c r="F291" s="9"/>
      <c r="G291" s="9"/>
      <c r="H291" s="9"/>
      <c r="I291" s="9"/>
      <c r="J291" s="9"/>
      <c r="K291" s="9"/>
      <c r="L291" s="9"/>
      <c r="M291" s="9"/>
    </row>
    <row r="292" spans="1:13" x14ac:dyDescent="0.2">
      <c r="A292" s="6"/>
      <c r="B292" s="9"/>
      <c r="C292" s="9"/>
      <c r="D292" s="9"/>
      <c r="E292" s="9"/>
      <c r="F292" s="9"/>
      <c r="G292" s="9"/>
      <c r="H292" s="9"/>
      <c r="I292" s="9"/>
      <c r="J292" s="9"/>
      <c r="K292" s="9"/>
      <c r="L292" s="9"/>
      <c r="M292" s="9"/>
    </row>
    <row r="293" spans="1:13" x14ac:dyDescent="0.2">
      <c r="A293" s="6"/>
      <c r="B293" s="9"/>
      <c r="C293" s="9"/>
      <c r="D293" s="9"/>
      <c r="E293" s="9"/>
      <c r="F293" s="9"/>
      <c r="G293" s="9"/>
      <c r="H293" s="9"/>
      <c r="I293" s="9"/>
      <c r="J293" s="9"/>
      <c r="K293" s="9"/>
      <c r="L293" s="9"/>
      <c r="M293" s="9"/>
    </row>
    <row r="294" spans="1:13" x14ac:dyDescent="0.2">
      <c r="A294" s="6"/>
      <c r="B294" s="9"/>
      <c r="C294" s="9"/>
      <c r="D294" s="9"/>
      <c r="E294" s="9"/>
      <c r="F294" s="9"/>
      <c r="G294" s="9"/>
      <c r="H294" s="9"/>
      <c r="I294" s="9"/>
      <c r="J294" s="9"/>
      <c r="K294" s="9"/>
      <c r="L294" s="9"/>
      <c r="M294" s="9"/>
    </row>
    <row r="296" spans="1:13" x14ac:dyDescent="0.2">
      <c r="A296" s="5"/>
    </row>
    <row r="297" spans="1:13" x14ac:dyDescent="0.2">
      <c r="A297" s="5"/>
    </row>
    <row r="298" spans="1:13" x14ac:dyDescent="0.2">
      <c r="A298" s="5"/>
    </row>
    <row r="301" spans="1:13" x14ac:dyDescent="0.2">
      <c r="A301" s="4"/>
    </row>
    <row r="302" spans="1:13" x14ac:dyDescent="0.2">
      <c r="A302" s="5"/>
    </row>
    <row r="304" spans="1:13" x14ac:dyDescent="0.2">
      <c r="A304" s="6"/>
      <c r="B304" s="6"/>
    </row>
    <row r="305" spans="1:13" x14ac:dyDescent="0.2">
      <c r="A305" s="6"/>
      <c r="B305" s="6"/>
    </row>
    <row r="306" spans="1:13" x14ac:dyDescent="0.2">
      <c r="A306" s="6"/>
      <c r="B306" s="6"/>
    </row>
    <row r="308" spans="1:13" x14ac:dyDescent="0.2">
      <c r="A308" s="7"/>
      <c r="B308" s="8"/>
      <c r="C308" s="8"/>
      <c r="D308" s="8"/>
      <c r="E308" s="8"/>
      <c r="F308" s="8"/>
      <c r="G308" s="8"/>
      <c r="H308" s="8"/>
      <c r="I308" s="8"/>
      <c r="J308" s="8"/>
      <c r="K308" s="8"/>
      <c r="L308" s="8"/>
      <c r="M308" s="8"/>
    </row>
    <row r="309" spans="1:13" x14ac:dyDescent="0.2">
      <c r="A309" s="6"/>
      <c r="B309" s="9"/>
      <c r="C309" s="9"/>
      <c r="D309" s="9"/>
      <c r="E309" s="9"/>
      <c r="F309" s="9"/>
      <c r="G309" s="9"/>
      <c r="H309" s="9"/>
      <c r="I309" s="9"/>
      <c r="J309" s="9"/>
      <c r="K309" s="9"/>
      <c r="L309" s="9"/>
      <c r="M309" s="9"/>
    </row>
    <row r="310" spans="1:13" x14ac:dyDescent="0.2">
      <c r="A310" s="6"/>
      <c r="B310" s="9"/>
      <c r="C310" s="9"/>
      <c r="D310" s="9"/>
      <c r="E310" s="9"/>
      <c r="F310" s="9"/>
      <c r="G310" s="9"/>
      <c r="H310" s="9"/>
      <c r="I310" s="9"/>
      <c r="J310" s="9"/>
      <c r="K310" s="9"/>
      <c r="L310" s="9"/>
      <c r="M310" s="9"/>
    </row>
    <row r="311" spans="1:13" x14ac:dyDescent="0.2">
      <c r="A311" s="6"/>
      <c r="B311" s="9"/>
      <c r="C311" s="9"/>
      <c r="D311" s="9"/>
      <c r="E311" s="9"/>
      <c r="F311" s="9"/>
      <c r="G311" s="9"/>
      <c r="H311" s="9"/>
      <c r="I311" s="9"/>
      <c r="J311" s="9"/>
      <c r="K311" s="9"/>
      <c r="L311" s="9"/>
      <c r="M311" s="9"/>
    </row>
    <row r="312" spans="1:13" x14ac:dyDescent="0.2">
      <c r="A312" s="6"/>
      <c r="B312" s="9"/>
      <c r="C312" s="9"/>
      <c r="D312" s="9"/>
      <c r="E312" s="9"/>
      <c r="F312" s="9"/>
      <c r="G312" s="9"/>
      <c r="H312" s="9"/>
      <c r="I312" s="9"/>
      <c r="J312" s="9"/>
      <c r="K312" s="9"/>
      <c r="L312" s="9"/>
      <c r="M312" s="9"/>
    </row>
    <row r="313" spans="1:13" x14ac:dyDescent="0.2">
      <c r="A313" s="6"/>
      <c r="B313" s="9"/>
      <c r="C313" s="9"/>
      <c r="D313" s="9"/>
      <c r="E313" s="9"/>
      <c r="F313" s="9"/>
      <c r="G313" s="9"/>
      <c r="H313" s="9"/>
      <c r="I313" s="9"/>
      <c r="J313" s="9"/>
      <c r="K313" s="9"/>
      <c r="L313" s="9"/>
      <c r="M313" s="9"/>
    </row>
    <row r="314" spans="1:13" x14ac:dyDescent="0.2">
      <c r="A314" s="6"/>
      <c r="B314" s="9"/>
      <c r="C314" s="9"/>
      <c r="D314" s="9"/>
      <c r="E314" s="9"/>
      <c r="F314" s="9"/>
      <c r="G314" s="9"/>
      <c r="H314" s="9"/>
      <c r="I314" s="9"/>
      <c r="J314" s="9"/>
      <c r="K314" s="9"/>
      <c r="L314" s="9"/>
      <c r="M314" s="9"/>
    </row>
    <row r="315" spans="1:13" x14ac:dyDescent="0.2">
      <c r="A315" s="6"/>
      <c r="B315" s="9"/>
      <c r="C315" s="9"/>
      <c r="D315" s="9"/>
      <c r="E315" s="9"/>
      <c r="F315" s="9"/>
      <c r="G315" s="9"/>
      <c r="H315" s="9"/>
      <c r="I315" s="9"/>
      <c r="J315" s="9"/>
      <c r="K315" s="9"/>
      <c r="L315" s="9"/>
      <c r="M315" s="9"/>
    </row>
    <row r="316" spans="1:13" x14ac:dyDescent="0.2">
      <c r="A316" s="6"/>
      <c r="B316" s="9"/>
      <c r="C316" s="9"/>
      <c r="D316" s="9"/>
      <c r="E316" s="9"/>
      <c r="F316" s="9"/>
      <c r="G316" s="9"/>
      <c r="H316" s="9"/>
      <c r="I316" s="9"/>
      <c r="J316" s="9"/>
      <c r="K316" s="9"/>
      <c r="L316" s="9"/>
      <c r="M316" s="9"/>
    </row>
    <row r="317" spans="1:13" x14ac:dyDescent="0.2">
      <c r="A317" s="6"/>
      <c r="B317" s="9"/>
      <c r="C317" s="9"/>
      <c r="D317" s="9"/>
      <c r="E317" s="9"/>
      <c r="F317" s="9"/>
      <c r="G317" s="9"/>
      <c r="H317" s="9"/>
      <c r="I317" s="9"/>
      <c r="J317" s="9"/>
      <c r="K317" s="9"/>
      <c r="L317" s="9"/>
      <c r="M317" s="9"/>
    </row>
    <row r="318" spans="1:13" x14ac:dyDescent="0.2">
      <c r="A318" s="6"/>
      <c r="B318" s="9"/>
      <c r="C318" s="9"/>
      <c r="D318" s="9"/>
      <c r="E318" s="9"/>
      <c r="F318" s="9"/>
      <c r="G318" s="9"/>
      <c r="H318" s="9"/>
      <c r="I318" s="9"/>
      <c r="J318" s="9"/>
      <c r="K318" s="9"/>
      <c r="L318" s="9"/>
      <c r="M318" s="9"/>
    </row>
    <row r="319" spans="1:13" x14ac:dyDescent="0.2">
      <c r="A319" s="6"/>
      <c r="B319" s="9"/>
      <c r="C319" s="9"/>
      <c r="D319" s="9"/>
      <c r="E319" s="9"/>
      <c r="F319" s="9"/>
      <c r="G319" s="9"/>
      <c r="H319" s="9"/>
      <c r="I319" s="9"/>
      <c r="J319" s="9"/>
      <c r="K319" s="9"/>
      <c r="L319" s="9"/>
      <c r="M319" s="9"/>
    </row>
    <row r="320" spans="1:13" x14ac:dyDescent="0.2">
      <c r="A320" s="6"/>
      <c r="B320" s="9"/>
      <c r="C320" s="9"/>
      <c r="D320" s="9"/>
      <c r="E320" s="9"/>
      <c r="F320" s="9"/>
      <c r="G320" s="9"/>
      <c r="H320" s="9"/>
      <c r="I320" s="9"/>
      <c r="J320" s="9"/>
      <c r="K320" s="9"/>
      <c r="L320" s="9"/>
      <c r="M320" s="9"/>
    </row>
    <row r="321" spans="1:13" x14ac:dyDescent="0.2">
      <c r="A321" s="6"/>
      <c r="B321" s="9"/>
      <c r="C321" s="9"/>
      <c r="D321" s="9"/>
      <c r="E321" s="9"/>
      <c r="F321" s="9"/>
      <c r="G321" s="9"/>
      <c r="H321" s="9"/>
      <c r="I321" s="9"/>
      <c r="J321" s="9"/>
      <c r="K321" s="9"/>
      <c r="L321" s="9"/>
      <c r="M321" s="9"/>
    </row>
    <row r="322" spans="1:13" x14ac:dyDescent="0.2">
      <c r="A322" s="6"/>
      <c r="B322" s="9"/>
      <c r="C322" s="9"/>
      <c r="D322" s="9"/>
      <c r="E322" s="9"/>
      <c r="F322" s="9"/>
      <c r="G322" s="9"/>
      <c r="H322" s="9"/>
      <c r="I322" s="9"/>
      <c r="J322" s="9"/>
      <c r="K322" s="9"/>
      <c r="L322" s="9"/>
      <c r="M322" s="9"/>
    </row>
    <row r="323" spans="1:13" x14ac:dyDescent="0.2">
      <c r="A323" s="6"/>
      <c r="B323" s="9"/>
      <c r="C323" s="9"/>
      <c r="D323" s="9"/>
      <c r="E323" s="9"/>
      <c r="F323" s="9"/>
      <c r="G323" s="9"/>
      <c r="H323" s="9"/>
      <c r="I323" s="9"/>
      <c r="J323" s="9"/>
      <c r="K323" s="9"/>
      <c r="L323" s="9"/>
      <c r="M323" s="9"/>
    </row>
    <row r="324" spans="1:13" x14ac:dyDescent="0.2">
      <c r="A324" s="6"/>
      <c r="B324" s="9"/>
      <c r="C324" s="9"/>
      <c r="D324" s="9"/>
      <c r="E324" s="9"/>
      <c r="F324" s="9"/>
      <c r="G324" s="9"/>
      <c r="H324" s="9"/>
      <c r="I324" s="9"/>
      <c r="J324" s="9"/>
      <c r="K324" s="9"/>
      <c r="L324" s="9"/>
      <c r="M324" s="9"/>
    </row>
    <row r="326" spans="1:13" x14ac:dyDescent="0.2">
      <c r="A326" s="5"/>
    </row>
    <row r="327" spans="1:13" x14ac:dyDescent="0.2">
      <c r="A327" s="5"/>
    </row>
    <row r="328" spans="1:13" x14ac:dyDescent="0.2">
      <c r="A328" s="5"/>
    </row>
    <row r="331" spans="1:13" x14ac:dyDescent="0.2">
      <c r="A331" s="4"/>
    </row>
    <row r="332" spans="1:13" x14ac:dyDescent="0.2">
      <c r="A332" s="5"/>
    </row>
    <row r="334" spans="1:13" x14ac:dyDescent="0.2">
      <c r="A334" s="6"/>
      <c r="B334" s="6"/>
    </row>
    <row r="335" spans="1:13" x14ac:dyDescent="0.2">
      <c r="A335" s="6"/>
      <c r="B335" s="6"/>
    </row>
    <row r="336" spans="1:13" x14ac:dyDescent="0.2">
      <c r="A336" s="6"/>
      <c r="B336" s="6"/>
    </row>
    <row r="338" spans="1:13" x14ac:dyDescent="0.2">
      <c r="A338" s="7"/>
      <c r="B338" s="8"/>
      <c r="C338" s="8"/>
      <c r="D338" s="8"/>
      <c r="E338" s="8"/>
      <c r="F338" s="8"/>
      <c r="G338" s="8"/>
      <c r="H338" s="8"/>
      <c r="I338" s="8"/>
      <c r="J338" s="8"/>
      <c r="K338" s="8"/>
      <c r="L338" s="8"/>
      <c r="M338" s="8"/>
    </row>
    <row r="339" spans="1:13" x14ac:dyDescent="0.2">
      <c r="A339" s="6"/>
      <c r="B339" s="9"/>
      <c r="C339" s="9"/>
      <c r="D339" s="9"/>
      <c r="E339" s="9"/>
      <c r="F339" s="9"/>
      <c r="G339" s="9"/>
      <c r="H339" s="9"/>
      <c r="I339" s="9"/>
      <c r="J339" s="9"/>
      <c r="K339" s="9"/>
      <c r="L339" s="9"/>
      <c r="M339" s="9"/>
    </row>
    <row r="340" spans="1:13" x14ac:dyDescent="0.2">
      <c r="A340" s="6"/>
      <c r="B340" s="9"/>
      <c r="C340" s="9"/>
      <c r="D340" s="9"/>
      <c r="E340" s="9"/>
      <c r="F340" s="9"/>
      <c r="G340" s="9"/>
      <c r="H340" s="9"/>
      <c r="I340" s="9"/>
      <c r="J340" s="9"/>
      <c r="K340" s="9"/>
      <c r="L340" s="9"/>
      <c r="M340" s="9"/>
    </row>
    <row r="341" spans="1:13" x14ac:dyDescent="0.2">
      <c r="A341" s="6"/>
      <c r="B341" s="9"/>
      <c r="C341" s="9"/>
      <c r="D341" s="9"/>
      <c r="E341" s="9"/>
      <c r="F341" s="9"/>
      <c r="G341" s="9"/>
      <c r="H341" s="9"/>
      <c r="I341" s="9"/>
      <c r="J341" s="9"/>
      <c r="K341" s="9"/>
      <c r="L341" s="9"/>
      <c r="M341" s="9"/>
    </row>
    <row r="342" spans="1:13" x14ac:dyDescent="0.2">
      <c r="A342" s="6"/>
      <c r="B342" s="9"/>
      <c r="C342" s="9"/>
      <c r="D342" s="9"/>
      <c r="E342" s="9"/>
      <c r="F342" s="9"/>
      <c r="G342" s="9"/>
      <c r="H342" s="9"/>
      <c r="I342" s="9"/>
      <c r="J342" s="9"/>
      <c r="K342" s="9"/>
      <c r="L342" s="9"/>
      <c r="M342" s="9"/>
    </row>
    <row r="343" spans="1:13" x14ac:dyDescent="0.2">
      <c r="A343" s="6"/>
      <c r="B343" s="9"/>
      <c r="C343" s="9"/>
      <c r="D343" s="9"/>
      <c r="E343" s="9"/>
      <c r="F343" s="9"/>
      <c r="G343" s="9"/>
      <c r="H343" s="9"/>
      <c r="I343" s="9"/>
      <c r="J343" s="9"/>
      <c r="K343" s="9"/>
      <c r="L343" s="9"/>
      <c r="M343" s="9"/>
    </row>
    <row r="344" spans="1:13" x14ac:dyDescent="0.2">
      <c r="A344" s="6"/>
      <c r="B344" s="9"/>
      <c r="C344" s="9"/>
      <c r="D344" s="9"/>
      <c r="E344" s="9"/>
      <c r="F344" s="9"/>
      <c r="G344" s="9"/>
      <c r="H344" s="9"/>
      <c r="I344" s="9"/>
      <c r="J344" s="9"/>
      <c r="K344" s="9"/>
      <c r="L344" s="9"/>
      <c r="M344" s="9"/>
    </row>
    <row r="345" spans="1:13" x14ac:dyDescent="0.2">
      <c r="A345" s="6"/>
      <c r="B345" s="9"/>
      <c r="C345" s="9"/>
      <c r="D345" s="9"/>
      <c r="E345" s="9"/>
      <c r="F345" s="9"/>
      <c r="G345" s="9"/>
      <c r="H345" s="9"/>
      <c r="I345" s="9"/>
      <c r="J345" s="9"/>
      <c r="K345" s="9"/>
      <c r="L345" s="9"/>
      <c r="M345" s="9"/>
    </row>
    <row r="346" spans="1:13" x14ac:dyDescent="0.2">
      <c r="A346" s="6"/>
      <c r="B346" s="9"/>
      <c r="C346" s="9"/>
      <c r="D346" s="9"/>
      <c r="E346" s="9"/>
      <c r="F346" s="9"/>
      <c r="G346" s="9"/>
      <c r="H346" s="9"/>
      <c r="I346" s="9"/>
      <c r="J346" s="9"/>
      <c r="K346" s="9"/>
      <c r="L346" s="9"/>
      <c r="M346" s="9"/>
    </row>
    <row r="347" spans="1:13" x14ac:dyDescent="0.2">
      <c r="A347" s="6"/>
      <c r="B347" s="9"/>
      <c r="C347" s="9"/>
      <c r="D347" s="9"/>
      <c r="E347" s="9"/>
      <c r="F347" s="9"/>
      <c r="G347" s="9"/>
      <c r="H347" s="9"/>
      <c r="I347" s="9"/>
      <c r="J347" s="9"/>
      <c r="K347" s="9"/>
      <c r="L347" s="9"/>
      <c r="M347" s="9"/>
    </row>
    <row r="348" spans="1:13" x14ac:dyDescent="0.2">
      <c r="A348" s="6"/>
      <c r="B348" s="9"/>
      <c r="C348" s="9"/>
      <c r="D348" s="9"/>
      <c r="E348" s="9"/>
      <c r="F348" s="9"/>
      <c r="G348" s="9"/>
      <c r="H348" s="9"/>
      <c r="I348" s="9"/>
      <c r="J348" s="9"/>
      <c r="K348" s="9"/>
      <c r="L348" s="9"/>
      <c r="M348" s="9"/>
    </row>
    <row r="349" spans="1:13" x14ac:dyDescent="0.2">
      <c r="A349" s="6"/>
      <c r="B349" s="9"/>
      <c r="C349" s="9"/>
      <c r="D349" s="9"/>
      <c r="E349" s="9"/>
      <c r="F349" s="9"/>
      <c r="G349" s="9"/>
      <c r="H349" s="9"/>
      <c r="I349" s="9"/>
      <c r="J349" s="9"/>
      <c r="K349" s="9"/>
      <c r="L349" s="9"/>
      <c r="M349" s="9"/>
    </row>
    <row r="350" spans="1:13" x14ac:dyDescent="0.2">
      <c r="A350" s="6"/>
      <c r="B350" s="9"/>
      <c r="C350" s="9"/>
      <c r="D350" s="9"/>
      <c r="E350" s="9"/>
      <c r="F350" s="9"/>
      <c r="G350" s="9"/>
      <c r="H350" s="9"/>
      <c r="I350" s="9"/>
      <c r="J350" s="9"/>
      <c r="K350" s="9"/>
      <c r="L350" s="9"/>
      <c r="M350" s="9"/>
    </row>
    <row r="351" spans="1:13" x14ac:dyDescent="0.2">
      <c r="A351" s="6"/>
      <c r="B351" s="9"/>
      <c r="C351" s="9"/>
      <c r="D351" s="9"/>
      <c r="E351" s="9"/>
      <c r="F351" s="9"/>
      <c r="G351" s="9"/>
      <c r="H351" s="9"/>
      <c r="I351" s="9"/>
      <c r="J351" s="9"/>
      <c r="K351" s="9"/>
      <c r="L351" s="9"/>
      <c r="M351" s="9"/>
    </row>
    <row r="352" spans="1:13" x14ac:dyDescent="0.2">
      <c r="A352" s="6"/>
      <c r="B352" s="9"/>
      <c r="C352" s="9"/>
      <c r="D352" s="9"/>
      <c r="E352" s="9"/>
      <c r="F352" s="9"/>
      <c r="G352" s="9"/>
      <c r="H352" s="9"/>
      <c r="I352" s="9"/>
      <c r="J352" s="9"/>
      <c r="K352" s="9"/>
      <c r="L352" s="9"/>
      <c r="M352" s="9"/>
    </row>
    <row r="353" spans="1:13" x14ac:dyDescent="0.2">
      <c r="A353" s="6"/>
      <c r="B353" s="9"/>
      <c r="C353" s="9"/>
      <c r="D353" s="9"/>
      <c r="E353" s="9"/>
      <c r="F353" s="9"/>
      <c r="G353" s="9"/>
      <c r="H353" s="9"/>
      <c r="I353" s="9"/>
      <c r="J353" s="9"/>
      <c r="K353" s="9"/>
      <c r="L353" s="9"/>
      <c r="M353" s="9"/>
    </row>
    <row r="354" spans="1:13" x14ac:dyDescent="0.2">
      <c r="A354" s="6"/>
      <c r="B354" s="9"/>
      <c r="C354" s="9"/>
      <c r="D354" s="9"/>
      <c r="E354" s="9"/>
      <c r="F354" s="9"/>
      <c r="G354" s="9"/>
      <c r="H354" s="9"/>
      <c r="I354" s="9"/>
      <c r="J354" s="9"/>
      <c r="K354" s="9"/>
      <c r="L354" s="9"/>
      <c r="M354" s="9"/>
    </row>
    <row r="356" spans="1:13" x14ac:dyDescent="0.2">
      <c r="A356" s="5"/>
    </row>
    <row r="357" spans="1:13" x14ac:dyDescent="0.2">
      <c r="A357" s="5"/>
    </row>
    <row r="358" spans="1:13" x14ac:dyDescent="0.2">
      <c r="A358" s="5"/>
    </row>
    <row r="361" spans="1:13" x14ac:dyDescent="0.2">
      <c r="A361" s="4"/>
    </row>
    <row r="362" spans="1:13" x14ac:dyDescent="0.2">
      <c r="A362" s="5"/>
    </row>
    <row r="364" spans="1:13" x14ac:dyDescent="0.2">
      <c r="A364" s="6"/>
      <c r="B364" s="6"/>
    </row>
    <row r="365" spans="1:13" x14ac:dyDescent="0.2">
      <c r="A365" s="6"/>
      <c r="B365" s="6"/>
    </row>
    <row r="366" spans="1:13" x14ac:dyDescent="0.2">
      <c r="A366" s="6"/>
      <c r="B366" s="6"/>
    </row>
    <row r="368" spans="1:13" x14ac:dyDescent="0.2">
      <c r="A368" s="7"/>
      <c r="B368" s="8"/>
      <c r="C368" s="8"/>
      <c r="D368" s="8"/>
      <c r="E368" s="8"/>
      <c r="F368" s="8"/>
      <c r="G368" s="8"/>
      <c r="H368" s="8"/>
      <c r="I368" s="8"/>
      <c r="J368" s="8"/>
      <c r="K368" s="8"/>
      <c r="L368" s="8"/>
      <c r="M368" s="8"/>
    </row>
    <row r="369" spans="1:13" x14ac:dyDescent="0.2">
      <c r="A369" s="6"/>
      <c r="B369" s="9"/>
      <c r="C369" s="9"/>
      <c r="D369" s="9"/>
      <c r="E369" s="9"/>
      <c r="F369" s="9"/>
      <c r="G369" s="9"/>
      <c r="H369" s="9"/>
      <c r="I369" s="9"/>
      <c r="J369" s="9"/>
      <c r="K369" s="9"/>
      <c r="L369" s="9"/>
      <c r="M369" s="9"/>
    </row>
    <row r="370" spans="1:13" x14ac:dyDescent="0.2">
      <c r="A370" s="6"/>
      <c r="B370" s="9"/>
      <c r="C370" s="9"/>
      <c r="D370" s="9"/>
      <c r="E370" s="9"/>
      <c r="F370" s="9"/>
      <c r="G370" s="9"/>
      <c r="H370" s="9"/>
      <c r="I370" s="9"/>
      <c r="J370" s="9"/>
      <c r="K370" s="9"/>
      <c r="L370" s="9"/>
      <c r="M370" s="9"/>
    </row>
    <row r="371" spans="1:13" x14ac:dyDescent="0.2">
      <c r="A371" s="6"/>
      <c r="B371" s="9"/>
      <c r="C371" s="9"/>
      <c r="D371" s="9"/>
      <c r="E371" s="9"/>
      <c r="F371" s="9"/>
      <c r="G371" s="9"/>
      <c r="H371" s="9"/>
      <c r="I371" s="9"/>
      <c r="J371" s="9"/>
      <c r="K371" s="9"/>
      <c r="L371" s="9"/>
      <c r="M371" s="9"/>
    </row>
    <row r="372" spans="1:13" x14ac:dyDescent="0.2">
      <c r="A372" s="6"/>
      <c r="B372" s="9"/>
      <c r="C372" s="9"/>
      <c r="D372" s="9"/>
      <c r="E372" s="9"/>
      <c r="F372" s="9"/>
      <c r="G372" s="9"/>
      <c r="H372" s="9"/>
      <c r="I372" s="9"/>
      <c r="J372" s="9"/>
      <c r="K372" s="9"/>
      <c r="L372" s="9"/>
      <c r="M372" s="9"/>
    </row>
    <row r="373" spans="1:13" x14ac:dyDescent="0.2">
      <c r="A373" s="6"/>
      <c r="B373" s="9"/>
      <c r="C373" s="9"/>
      <c r="D373" s="9"/>
      <c r="E373" s="9"/>
      <c r="F373" s="9"/>
      <c r="G373" s="9"/>
      <c r="H373" s="9"/>
      <c r="I373" s="9"/>
      <c r="J373" s="9"/>
      <c r="K373" s="9"/>
      <c r="L373" s="9"/>
      <c r="M373" s="9"/>
    </row>
    <row r="374" spans="1:13" x14ac:dyDescent="0.2">
      <c r="A374" s="6"/>
      <c r="B374" s="9"/>
      <c r="C374" s="9"/>
      <c r="D374" s="9"/>
      <c r="E374" s="9"/>
      <c r="F374" s="9"/>
      <c r="G374" s="9"/>
      <c r="H374" s="9"/>
      <c r="I374" s="9"/>
      <c r="J374" s="9"/>
      <c r="K374" s="9"/>
      <c r="L374" s="9"/>
      <c r="M374" s="9"/>
    </row>
    <row r="375" spans="1:13" x14ac:dyDescent="0.2">
      <c r="A375" s="6"/>
      <c r="B375" s="9"/>
      <c r="C375" s="9"/>
      <c r="D375" s="9"/>
      <c r="E375" s="9"/>
      <c r="F375" s="9"/>
      <c r="G375" s="9"/>
      <c r="H375" s="9"/>
      <c r="I375" s="9"/>
      <c r="J375" s="9"/>
      <c r="K375" s="9"/>
      <c r="L375" s="9"/>
      <c r="M375" s="9"/>
    </row>
    <row r="376" spans="1:13" x14ac:dyDescent="0.2">
      <c r="A376" s="6"/>
      <c r="B376" s="9"/>
      <c r="C376" s="9"/>
      <c r="D376" s="9"/>
      <c r="E376" s="9"/>
      <c r="F376" s="9"/>
      <c r="G376" s="9"/>
      <c r="H376" s="9"/>
      <c r="I376" s="9"/>
      <c r="J376" s="9"/>
      <c r="K376" s="9"/>
      <c r="L376" s="9"/>
      <c r="M376" s="9"/>
    </row>
    <row r="377" spans="1:13" x14ac:dyDescent="0.2">
      <c r="A377" s="6"/>
      <c r="B377" s="9"/>
      <c r="C377" s="9"/>
      <c r="D377" s="9"/>
      <c r="E377" s="9"/>
      <c r="F377" s="9"/>
      <c r="G377" s="9"/>
      <c r="H377" s="9"/>
      <c r="I377" s="9"/>
      <c r="J377" s="9"/>
      <c r="K377" s="9"/>
      <c r="L377" s="9"/>
      <c r="M377" s="9"/>
    </row>
    <row r="378" spans="1:13" x14ac:dyDescent="0.2">
      <c r="A378" s="6"/>
      <c r="B378" s="9"/>
      <c r="C378" s="9"/>
      <c r="D378" s="9"/>
      <c r="E378" s="9"/>
      <c r="F378" s="9"/>
      <c r="G378" s="9"/>
      <c r="H378" s="9"/>
      <c r="I378" s="9"/>
      <c r="J378" s="9"/>
      <c r="K378" s="9"/>
      <c r="L378" s="9"/>
      <c r="M378" s="9"/>
    </row>
    <row r="379" spans="1:13" x14ac:dyDescent="0.2">
      <c r="A379" s="6"/>
      <c r="B379" s="9"/>
      <c r="C379" s="9"/>
      <c r="D379" s="9"/>
      <c r="E379" s="9"/>
      <c r="F379" s="9"/>
      <c r="G379" s="9"/>
      <c r="H379" s="9"/>
      <c r="I379" s="9"/>
      <c r="J379" s="9"/>
      <c r="K379" s="9"/>
      <c r="L379" s="9"/>
      <c r="M379" s="9"/>
    </row>
    <row r="380" spans="1:13" x14ac:dyDescent="0.2">
      <c r="A380" s="6"/>
      <c r="B380" s="9"/>
      <c r="C380" s="9"/>
      <c r="D380" s="9"/>
      <c r="E380" s="9"/>
      <c r="F380" s="9"/>
      <c r="G380" s="9"/>
      <c r="H380" s="9"/>
      <c r="I380" s="9"/>
      <c r="J380" s="9"/>
      <c r="K380" s="9"/>
      <c r="L380" s="9"/>
      <c r="M380" s="9"/>
    </row>
    <row r="381" spans="1:13" x14ac:dyDescent="0.2">
      <c r="A381" s="6"/>
      <c r="B381" s="9"/>
      <c r="C381" s="9"/>
      <c r="D381" s="9"/>
      <c r="E381" s="9"/>
      <c r="F381" s="9"/>
      <c r="G381" s="9"/>
      <c r="H381" s="9"/>
      <c r="I381" s="9"/>
      <c r="J381" s="9"/>
      <c r="K381" s="9"/>
      <c r="L381" s="9"/>
      <c r="M381" s="9"/>
    </row>
    <row r="382" spans="1:13" x14ac:dyDescent="0.2">
      <c r="A382" s="6"/>
      <c r="B382" s="9"/>
      <c r="C382" s="9"/>
      <c r="D382" s="9"/>
      <c r="E382" s="9"/>
      <c r="F382" s="9"/>
      <c r="G382" s="9"/>
      <c r="H382" s="9"/>
      <c r="I382" s="9"/>
      <c r="J382" s="9"/>
      <c r="K382" s="9"/>
      <c r="L382" s="9"/>
      <c r="M382" s="9"/>
    </row>
    <row r="383" spans="1:13" x14ac:dyDescent="0.2">
      <c r="A383" s="6"/>
      <c r="B383" s="9"/>
      <c r="C383" s="9"/>
      <c r="D383" s="9"/>
      <c r="E383" s="9"/>
      <c r="F383" s="9"/>
      <c r="G383" s="9"/>
      <c r="H383" s="9"/>
      <c r="I383" s="9"/>
      <c r="J383" s="9"/>
      <c r="K383" s="9"/>
      <c r="L383" s="9"/>
      <c r="M383" s="9"/>
    </row>
    <row r="384" spans="1:13" x14ac:dyDescent="0.2">
      <c r="A384" s="6"/>
      <c r="B384" s="9"/>
      <c r="C384" s="9"/>
      <c r="D384" s="9"/>
      <c r="E384" s="9"/>
      <c r="F384" s="9"/>
      <c r="G384" s="9"/>
      <c r="H384" s="9"/>
      <c r="I384" s="9"/>
      <c r="J384" s="9"/>
      <c r="K384" s="9"/>
      <c r="L384" s="9"/>
      <c r="M384" s="9"/>
    </row>
    <row r="386" spans="1:13" x14ac:dyDescent="0.2">
      <c r="A386" s="5"/>
    </row>
    <row r="387" spans="1:13" x14ac:dyDescent="0.2">
      <c r="A387" s="5"/>
    </row>
    <row r="388" spans="1:13" x14ac:dyDescent="0.2">
      <c r="A388" s="5"/>
    </row>
    <row r="391" spans="1:13" x14ac:dyDescent="0.2">
      <c r="A391" s="4"/>
    </row>
    <row r="392" spans="1:13" x14ac:dyDescent="0.2">
      <c r="A392" s="5"/>
    </row>
    <row r="394" spans="1:13" x14ac:dyDescent="0.2">
      <c r="A394" s="6"/>
      <c r="B394" s="6"/>
    </row>
    <row r="395" spans="1:13" x14ac:dyDescent="0.2">
      <c r="A395" s="6"/>
      <c r="B395" s="6"/>
    </row>
    <row r="396" spans="1:13" x14ac:dyDescent="0.2">
      <c r="A396" s="6"/>
      <c r="B396" s="6"/>
    </row>
    <row r="398" spans="1:13" x14ac:dyDescent="0.2">
      <c r="A398" s="7"/>
      <c r="B398" s="8"/>
      <c r="C398" s="8"/>
      <c r="D398" s="8"/>
      <c r="E398" s="8"/>
      <c r="F398" s="8"/>
      <c r="G398" s="8"/>
      <c r="H398" s="8"/>
      <c r="I398" s="8"/>
      <c r="J398" s="8"/>
      <c r="K398" s="8"/>
      <c r="L398" s="8"/>
      <c r="M398" s="8"/>
    </row>
    <row r="399" spans="1:13" x14ac:dyDescent="0.2">
      <c r="A399" s="6"/>
      <c r="B399" s="9"/>
      <c r="C399" s="9"/>
      <c r="D399" s="9"/>
      <c r="E399" s="9"/>
      <c r="F399" s="9"/>
      <c r="G399" s="9"/>
      <c r="H399" s="9"/>
      <c r="I399" s="9"/>
      <c r="J399" s="9"/>
      <c r="K399" s="9"/>
      <c r="L399" s="9"/>
      <c r="M399" s="9"/>
    </row>
    <row r="400" spans="1:13" x14ac:dyDescent="0.2">
      <c r="A400" s="6"/>
      <c r="B400" s="9"/>
      <c r="C400" s="9"/>
      <c r="D400" s="9"/>
      <c r="E400" s="9"/>
      <c r="F400" s="9"/>
      <c r="G400" s="9"/>
      <c r="H400" s="9"/>
      <c r="I400" s="9"/>
      <c r="J400" s="9"/>
      <c r="K400" s="9"/>
      <c r="L400" s="9"/>
      <c r="M400" s="9"/>
    </row>
    <row r="401" spans="1:13" x14ac:dyDescent="0.2">
      <c r="A401" s="6"/>
      <c r="B401" s="9"/>
      <c r="C401" s="9"/>
      <c r="D401" s="9"/>
      <c r="E401" s="9"/>
      <c r="F401" s="9"/>
      <c r="G401" s="9"/>
      <c r="H401" s="9"/>
      <c r="I401" s="9"/>
      <c r="J401" s="9"/>
      <c r="K401" s="9"/>
      <c r="L401" s="9"/>
      <c r="M401" s="9"/>
    </row>
    <row r="402" spans="1:13" x14ac:dyDescent="0.2">
      <c r="A402" s="6"/>
      <c r="B402" s="9"/>
      <c r="C402" s="9"/>
      <c r="D402" s="9"/>
      <c r="E402" s="9"/>
      <c r="F402" s="9"/>
      <c r="G402" s="9"/>
      <c r="H402" s="9"/>
      <c r="I402" s="9"/>
      <c r="J402" s="9"/>
      <c r="K402" s="9"/>
      <c r="L402" s="9"/>
      <c r="M402" s="9"/>
    </row>
    <row r="403" spans="1:13" x14ac:dyDescent="0.2">
      <c r="A403" s="6"/>
      <c r="B403" s="9"/>
      <c r="C403" s="9"/>
      <c r="D403" s="9"/>
      <c r="E403" s="9"/>
      <c r="F403" s="9"/>
      <c r="G403" s="9"/>
      <c r="H403" s="9"/>
      <c r="I403" s="9"/>
      <c r="J403" s="9"/>
      <c r="K403" s="9"/>
      <c r="L403" s="9"/>
      <c r="M403" s="9"/>
    </row>
    <row r="404" spans="1:13" x14ac:dyDescent="0.2">
      <c r="A404" s="6"/>
      <c r="B404" s="9"/>
      <c r="C404" s="9"/>
      <c r="D404" s="9"/>
      <c r="E404" s="9"/>
      <c r="F404" s="9"/>
      <c r="G404" s="9"/>
      <c r="H404" s="9"/>
      <c r="I404" s="9"/>
      <c r="J404" s="9"/>
      <c r="K404" s="9"/>
      <c r="L404" s="9"/>
      <c r="M404" s="9"/>
    </row>
    <row r="405" spans="1:13" x14ac:dyDescent="0.2">
      <c r="A405" s="6"/>
      <c r="B405" s="9"/>
      <c r="C405" s="9"/>
      <c r="D405" s="9"/>
      <c r="E405" s="9"/>
      <c r="F405" s="9"/>
      <c r="G405" s="9"/>
      <c r="H405" s="9"/>
      <c r="I405" s="9"/>
      <c r="J405" s="9"/>
      <c r="K405" s="9"/>
      <c r="L405" s="9"/>
      <c r="M405" s="9"/>
    </row>
    <row r="406" spans="1:13" x14ac:dyDescent="0.2">
      <c r="A406" s="6"/>
      <c r="B406" s="9"/>
      <c r="C406" s="9"/>
      <c r="D406" s="9"/>
      <c r="E406" s="9"/>
      <c r="F406" s="9"/>
      <c r="G406" s="9"/>
      <c r="H406" s="9"/>
      <c r="I406" s="9"/>
      <c r="J406" s="9"/>
      <c r="K406" s="9"/>
      <c r="L406" s="9"/>
      <c r="M406" s="9"/>
    </row>
    <row r="407" spans="1:13" x14ac:dyDescent="0.2">
      <c r="A407" s="6"/>
      <c r="B407" s="9"/>
      <c r="C407" s="9"/>
      <c r="D407" s="9"/>
      <c r="E407" s="9"/>
      <c r="F407" s="9"/>
      <c r="G407" s="9"/>
      <c r="H407" s="9"/>
      <c r="I407" s="9"/>
      <c r="J407" s="9"/>
      <c r="K407" s="9"/>
      <c r="L407" s="9"/>
      <c r="M407" s="9"/>
    </row>
    <row r="408" spans="1:13" x14ac:dyDescent="0.2">
      <c r="A408" s="6"/>
      <c r="B408" s="9"/>
      <c r="C408" s="9"/>
      <c r="D408" s="9"/>
      <c r="E408" s="9"/>
      <c r="F408" s="9"/>
      <c r="G408" s="9"/>
      <c r="H408" s="9"/>
      <c r="I408" s="9"/>
      <c r="J408" s="9"/>
      <c r="K408" s="9"/>
      <c r="L408" s="9"/>
      <c r="M408" s="9"/>
    </row>
    <row r="409" spans="1:13" x14ac:dyDescent="0.2">
      <c r="A409" s="6"/>
      <c r="B409" s="9"/>
      <c r="C409" s="9"/>
      <c r="D409" s="9"/>
      <c r="E409" s="9"/>
      <c r="F409" s="9"/>
      <c r="G409" s="9"/>
      <c r="H409" s="9"/>
      <c r="I409" s="9"/>
      <c r="J409" s="9"/>
      <c r="K409" s="9"/>
      <c r="L409" s="9"/>
      <c r="M409" s="9"/>
    </row>
    <row r="410" spans="1:13" x14ac:dyDescent="0.2">
      <c r="A410" s="6"/>
      <c r="B410" s="9"/>
      <c r="C410" s="9"/>
      <c r="D410" s="9"/>
      <c r="E410" s="9"/>
      <c r="F410" s="9"/>
      <c r="G410" s="9"/>
      <c r="H410" s="9"/>
      <c r="I410" s="9"/>
      <c r="J410" s="9"/>
      <c r="K410" s="9"/>
      <c r="L410" s="9"/>
      <c r="M410" s="9"/>
    </row>
    <row r="411" spans="1:13" x14ac:dyDescent="0.2">
      <c r="A411" s="6"/>
      <c r="B411" s="9"/>
      <c r="C411" s="9"/>
      <c r="D411" s="9"/>
      <c r="E411" s="9"/>
      <c r="F411" s="9"/>
      <c r="G411" s="9"/>
      <c r="H411" s="9"/>
      <c r="I411" s="9"/>
      <c r="J411" s="9"/>
      <c r="K411" s="9"/>
      <c r="L411" s="9"/>
      <c r="M411" s="9"/>
    </row>
    <row r="412" spans="1:13" x14ac:dyDescent="0.2">
      <c r="A412" s="6"/>
      <c r="B412" s="9"/>
      <c r="C412" s="9"/>
      <c r="D412" s="9"/>
      <c r="E412" s="9"/>
      <c r="F412" s="9"/>
      <c r="G412" s="9"/>
      <c r="H412" s="9"/>
      <c r="I412" s="9"/>
      <c r="J412" s="9"/>
      <c r="K412" s="9"/>
      <c r="L412" s="9"/>
      <c r="M412" s="9"/>
    </row>
    <row r="413" spans="1:13" x14ac:dyDescent="0.2">
      <c r="A413" s="6"/>
      <c r="B413" s="9"/>
      <c r="C413" s="9"/>
      <c r="D413" s="9"/>
      <c r="E413" s="9"/>
      <c r="F413" s="9"/>
      <c r="G413" s="9"/>
      <c r="H413" s="9"/>
      <c r="I413" s="9"/>
      <c r="J413" s="9"/>
      <c r="K413" s="9"/>
      <c r="L413" s="9"/>
      <c r="M413" s="9"/>
    </row>
    <row r="414" spans="1:13" x14ac:dyDescent="0.2">
      <c r="A414" s="6"/>
      <c r="B414" s="9"/>
      <c r="C414" s="9"/>
      <c r="D414" s="9"/>
      <c r="E414" s="9"/>
      <c r="F414" s="9"/>
      <c r="G414" s="9"/>
      <c r="H414" s="9"/>
      <c r="I414" s="9"/>
      <c r="J414" s="9"/>
      <c r="K414" s="9"/>
      <c r="L414" s="9"/>
      <c r="M414" s="9"/>
    </row>
    <row r="416" spans="1:13" x14ac:dyDescent="0.2">
      <c r="A416" s="5"/>
    </row>
    <row r="417" spans="1:1" x14ac:dyDescent="0.2">
      <c r="A417" s="5"/>
    </row>
    <row r="418" spans="1:1" x14ac:dyDescent="0.2">
      <c r="A418"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F1B92-E1FB-E74A-B3FF-5116134587D5}">
  <dimension ref="A1:AD28"/>
  <sheetViews>
    <sheetView tabSelected="1" topLeftCell="C1" zoomScale="140" workbookViewId="0">
      <selection activeCell="R32" sqref="R32"/>
    </sheetView>
  </sheetViews>
  <sheetFormatPr baseColWidth="10" defaultRowHeight="16" x14ac:dyDescent="0.2"/>
  <sheetData>
    <row r="1" spans="1:30" x14ac:dyDescent="0.2">
      <c r="A1" t="s">
        <v>0</v>
      </c>
      <c r="B1" t="s">
        <v>1</v>
      </c>
      <c r="C1" t="s">
        <v>2</v>
      </c>
      <c r="D1" t="s">
        <v>4</v>
      </c>
      <c r="E1" t="s">
        <v>5</v>
      </c>
      <c r="F1" t="s">
        <v>6</v>
      </c>
      <c r="G1" t="s">
        <v>7</v>
      </c>
      <c r="H1" t="s">
        <v>8</v>
      </c>
      <c r="I1" t="s">
        <v>9</v>
      </c>
      <c r="J1" t="s">
        <v>10</v>
      </c>
      <c r="K1" t="s">
        <v>11</v>
      </c>
      <c r="L1" t="s">
        <v>12</v>
      </c>
      <c r="M1" t="s">
        <v>13</v>
      </c>
      <c r="N1" t="s">
        <v>14</v>
      </c>
      <c r="O1" t="s">
        <v>15</v>
      </c>
      <c r="P1" t="s">
        <v>16</v>
      </c>
      <c r="Q1" t="s">
        <v>17</v>
      </c>
      <c r="R1" t="s">
        <v>46</v>
      </c>
      <c r="S1" t="s">
        <v>34</v>
      </c>
      <c r="T1" t="s">
        <v>35</v>
      </c>
      <c r="U1" t="s">
        <v>36</v>
      </c>
      <c r="V1" t="s">
        <v>37</v>
      </c>
      <c r="W1" t="s">
        <v>38</v>
      </c>
      <c r="X1" t="s">
        <v>39</v>
      </c>
      <c r="Y1" t="s">
        <v>40</v>
      </c>
      <c r="Z1" t="s">
        <v>41</v>
      </c>
      <c r="AA1" t="s">
        <v>42</v>
      </c>
      <c r="AB1" t="s">
        <v>43</v>
      </c>
      <c r="AC1" t="s">
        <v>44</v>
      </c>
      <c r="AD1" t="s">
        <v>45</v>
      </c>
    </row>
    <row r="2" spans="1:30" x14ac:dyDescent="0.2">
      <c r="A2">
        <v>2025</v>
      </c>
      <c r="B2" s="6" t="s">
        <v>70</v>
      </c>
      <c r="C2" t="s">
        <v>98</v>
      </c>
      <c r="D2" s="9">
        <v>4580</v>
      </c>
      <c r="E2" s="9">
        <v>4010</v>
      </c>
      <c r="F2" s="9">
        <v>3515</v>
      </c>
      <c r="G2" s="9">
        <v>495</v>
      </c>
      <c r="H2" s="9">
        <v>470</v>
      </c>
      <c r="I2" s="9">
        <v>305</v>
      </c>
      <c r="J2" s="9">
        <v>165</v>
      </c>
      <c r="K2" s="9">
        <v>75</v>
      </c>
      <c r="L2" s="9">
        <v>55</v>
      </c>
      <c r="M2" s="9">
        <v>20</v>
      </c>
      <c r="N2" s="9">
        <v>20</v>
      </c>
      <c r="O2" s="9">
        <v>10</v>
      </c>
      <c r="P2" s="9">
        <v>5</v>
      </c>
      <c r="Q2" s="9">
        <v>5</v>
      </c>
      <c r="R2">
        <f>100*E2/D2</f>
        <v>87.554585152838428</v>
      </c>
      <c r="S2">
        <f>100*F2/D2</f>
        <v>76.746724890829697</v>
      </c>
      <c r="T2">
        <f>100*G2/D2</f>
        <v>10.807860262008735</v>
      </c>
      <c r="U2">
        <f>100*H2/D2</f>
        <v>10.262008733624453</v>
      </c>
      <c r="V2">
        <f>100*I2/D2</f>
        <v>6.6593886462882095</v>
      </c>
      <c r="W2">
        <f>100*J2/D2</f>
        <v>3.6026200873362444</v>
      </c>
      <c r="X2">
        <f>100*K2/D2</f>
        <v>1.6375545851528384</v>
      </c>
      <c r="Y2">
        <f>100*L2/D2</f>
        <v>1.2008733624454149</v>
      </c>
      <c r="Z2">
        <f>100*M2/D2</f>
        <v>0.4366812227074236</v>
      </c>
      <c r="AA2">
        <f>100*N2/D2</f>
        <v>0.4366812227074236</v>
      </c>
      <c r="AB2">
        <f>100*O2/D2</f>
        <v>0.2183406113537118</v>
      </c>
      <c r="AC2">
        <f>100*P2/D2</f>
        <v>0.1091703056768559</v>
      </c>
      <c r="AD2">
        <f>100*Q2/D2</f>
        <v>0.1091703056768559</v>
      </c>
    </row>
    <row r="3" spans="1:30" x14ac:dyDescent="0.2">
      <c r="A3">
        <v>2025</v>
      </c>
      <c r="B3" s="6" t="s">
        <v>71</v>
      </c>
      <c r="C3" t="s">
        <v>98</v>
      </c>
      <c r="D3" s="9">
        <v>6640</v>
      </c>
      <c r="E3" s="9">
        <v>5490</v>
      </c>
      <c r="F3" s="9">
        <v>4640</v>
      </c>
      <c r="G3" s="9">
        <v>850</v>
      </c>
      <c r="H3" s="9">
        <v>910</v>
      </c>
      <c r="I3" s="9">
        <v>555</v>
      </c>
      <c r="J3" s="9">
        <v>355</v>
      </c>
      <c r="K3" s="9">
        <v>200</v>
      </c>
      <c r="L3" s="9">
        <v>130</v>
      </c>
      <c r="M3" s="9">
        <v>70</v>
      </c>
      <c r="N3" s="9">
        <v>45</v>
      </c>
      <c r="O3" s="9">
        <v>15</v>
      </c>
      <c r="P3" s="9">
        <v>10</v>
      </c>
      <c r="Q3" s="9">
        <v>20</v>
      </c>
      <c r="R3">
        <f>100*E3/D3</f>
        <v>82.680722891566262</v>
      </c>
      <c r="S3">
        <f>100*F3/D3</f>
        <v>69.879518072289159</v>
      </c>
      <c r="T3">
        <f>100*G3/D3</f>
        <v>12.801204819277109</v>
      </c>
      <c r="U3">
        <f>100*H3/D3</f>
        <v>13.704819277108435</v>
      </c>
      <c r="V3">
        <f>100*I3/D3</f>
        <v>8.3584337349397586</v>
      </c>
      <c r="W3">
        <f>100*J3/D3</f>
        <v>5.346385542168675</v>
      </c>
      <c r="X3">
        <f>100*K3/D3</f>
        <v>3.0120481927710845</v>
      </c>
      <c r="Y3">
        <f>100*L3/D3</f>
        <v>1.9578313253012047</v>
      </c>
      <c r="Z3">
        <f>100*M3/D3</f>
        <v>1.0542168674698795</v>
      </c>
      <c r="AA3">
        <f>100*N3/D3</f>
        <v>0.67771084337349397</v>
      </c>
      <c r="AB3">
        <f>100*O3/D3</f>
        <v>0.22590361445783133</v>
      </c>
      <c r="AC3">
        <f>100*P3/D3</f>
        <v>0.15060240963855423</v>
      </c>
      <c r="AD3">
        <f>100*Q3/D3</f>
        <v>0.30120481927710846</v>
      </c>
    </row>
    <row r="4" spans="1:30" x14ac:dyDescent="0.2">
      <c r="A4">
        <v>2025</v>
      </c>
      <c r="B4" s="6" t="s">
        <v>72</v>
      </c>
      <c r="C4" t="s">
        <v>98</v>
      </c>
      <c r="D4" s="9">
        <v>3420</v>
      </c>
      <c r="E4" s="9">
        <v>2990</v>
      </c>
      <c r="F4" s="9">
        <v>2605</v>
      </c>
      <c r="G4" s="9">
        <v>385</v>
      </c>
      <c r="H4" s="9">
        <v>360</v>
      </c>
      <c r="I4" s="9">
        <v>235</v>
      </c>
      <c r="J4" s="9">
        <v>125</v>
      </c>
      <c r="K4" s="9">
        <v>55</v>
      </c>
      <c r="L4" s="9">
        <v>40</v>
      </c>
      <c r="M4" s="9">
        <v>15</v>
      </c>
      <c r="N4" s="9">
        <v>15</v>
      </c>
      <c r="O4" s="9">
        <v>5</v>
      </c>
      <c r="P4" s="9">
        <v>5</v>
      </c>
      <c r="Q4" s="9">
        <v>5</v>
      </c>
      <c r="R4">
        <f>100*E4/D4</f>
        <v>87.42690058479532</v>
      </c>
      <c r="S4">
        <f>100*F4/D4</f>
        <v>76.169590643274859</v>
      </c>
      <c r="T4">
        <f>100*G4/D4</f>
        <v>11.257309941520468</v>
      </c>
      <c r="U4">
        <f>100*H4/D4</f>
        <v>10.526315789473685</v>
      </c>
      <c r="V4">
        <f>100*I4/D4</f>
        <v>6.871345029239766</v>
      </c>
      <c r="W4">
        <f>100*J4/D4</f>
        <v>3.6549707602339181</v>
      </c>
      <c r="X4">
        <f>100*K4/D4</f>
        <v>1.6081871345029239</v>
      </c>
      <c r="Y4">
        <f>100*L4/D4</f>
        <v>1.1695906432748537</v>
      </c>
      <c r="Z4">
        <f>100*M4/D4</f>
        <v>0.43859649122807015</v>
      </c>
      <c r="AA4">
        <f>100*N4/D4</f>
        <v>0.43859649122807015</v>
      </c>
      <c r="AB4">
        <f>100*O4/D4</f>
        <v>0.14619883040935672</v>
      </c>
      <c r="AC4">
        <f>100*P4/D4</f>
        <v>0.14619883040935672</v>
      </c>
      <c r="AD4">
        <f>100*Q4/D4</f>
        <v>0.14619883040935672</v>
      </c>
    </row>
    <row r="5" spans="1:30" x14ac:dyDescent="0.2">
      <c r="A5">
        <v>2025</v>
      </c>
      <c r="B5" s="6" t="s">
        <v>73</v>
      </c>
      <c r="C5" t="s">
        <v>98</v>
      </c>
      <c r="D5" s="9">
        <v>2635</v>
      </c>
      <c r="E5" s="9">
        <v>2405</v>
      </c>
      <c r="F5" s="9">
        <v>2120</v>
      </c>
      <c r="G5" s="9">
        <v>285</v>
      </c>
      <c r="H5" s="9">
        <v>200</v>
      </c>
      <c r="I5" s="9">
        <v>130</v>
      </c>
      <c r="J5" s="9">
        <v>70</v>
      </c>
      <c r="K5" s="9">
        <v>30</v>
      </c>
      <c r="L5" s="9">
        <v>20</v>
      </c>
      <c r="M5" s="9">
        <v>10</v>
      </c>
      <c r="N5" s="9">
        <v>5</v>
      </c>
      <c r="O5" s="9">
        <v>0</v>
      </c>
      <c r="P5" s="9">
        <v>0</v>
      </c>
      <c r="Q5" s="9">
        <v>0</v>
      </c>
      <c r="R5">
        <f>100*E5/D5</f>
        <v>91.271347248576845</v>
      </c>
      <c r="S5">
        <f>100*F5/D5</f>
        <v>80.455407969639467</v>
      </c>
      <c r="T5">
        <f>100*G5/D5</f>
        <v>10.815939278937382</v>
      </c>
      <c r="U5">
        <f>100*H5/D5</f>
        <v>7.5901328273244779</v>
      </c>
      <c r="V5">
        <f>100*I5/D5</f>
        <v>4.9335863377609108</v>
      </c>
      <c r="W5">
        <f>100*J5/D5</f>
        <v>2.6565464895635675</v>
      </c>
      <c r="X5">
        <f>100*K5/D5</f>
        <v>1.1385199240986716</v>
      </c>
      <c r="Y5">
        <f>100*L5/D5</f>
        <v>0.75901328273244784</v>
      </c>
      <c r="Z5">
        <f>100*M5/D5</f>
        <v>0.37950664136622392</v>
      </c>
      <c r="AA5">
        <f>100*N5/D5</f>
        <v>0.18975332068311196</v>
      </c>
      <c r="AB5">
        <f>100*O5/D5</f>
        <v>0</v>
      </c>
      <c r="AC5">
        <f>100*P5/D5</f>
        <v>0</v>
      </c>
      <c r="AD5">
        <f>100*Q5/D5</f>
        <v>0</v>
      </c>
    </row>
    <row r="6" spans="1:30" x14ac:dyDescent="0.2">
      <c r="A6">
        <v>2025</v>
      </c>
      <c r="B6" s="6" t="s">
        <v>74</v>
      </c>
      <c r="C6" t="s">
        <v>98</v>
      </c>
      <c r="D6" s="9">
        <v>3615</v>
      </c>
      <c r="E6" s="9">
        <v>3265</v>
      </c>
      <c r="F6" s="9">
        <v>2930</v>
      </c>
      <c r="G6" s="9">
        <v>335</v>
      </c>
      <c r="H6" s="9">
        <v>295</v>
      </c>
      <c r="I6" s="9">
        <v>190</v>
      </c>
      <c r="J6" s="9">
        <v>100</v>
      </c>
      <c r="K6" s="9">
        <v>45</v>
      </c>
      <c r="L6" s="9">
        <v>30</v>
      </c>
      <c r="M6" s="9">
        <v>15</v>
      </c>
      <c r="N6" s="9">
        <v>10</v>
      </c>
      <c r="O6" s="9">
        <v>5</v>
      </c>
      <c r="P6" s="9">
        <v>0</v>
      </c>
      <c r="Q6" s="9">
        <v>0</v>
      </c>
      <c r="R6">
        <f>100*E6/D6</f>
        <v>90.318118948824349</v>
      </c>
      <c r="S6">
        <f>100*F6/D6</f>
        <v>81.051175656984782</v>
      </c>
      <c r="T6">
        <f>100*G6/D6</f>
        <v>9.2669432918395582</v>
      </c>
      <c r="U6">
        <f>100*H6/D6</f>
        <v>8.1604426002766246</v>
      </c>
      <c r="V6">
        <f>100*I6/D6</f>
        <v>5.2558782849239281</v>
      </c>
      <c r="W6">
        <f>100*J6/D6</f>
        <v>2.7662517289073305</v>
      </c>
      <c r="X6">
        <f>100*K6/D6</f>
        <v>1.2448132780082988</v>
      </c>
      <c r="Y6">
        <f>100*L6/D6</f>
        <v>0.82987551867219922</v>
      </c>
      <c r="Z6">
        <f>100*M6/D6</f>
        <v>0.41493775933609961</v>
      </c>
      <c r="AA6">
        <f>100*N6/D6</f>
        <v>0.27662517289073307</v>
      </c>
      <c r="AB6">
        <f>100*O6/D6</f>
        <v>0.13831258644536654</v>
      </c>
      <c r="AC6">
        <f>100*P6/D6</f>
        <v>0</v>
      </c>
      <c r="AD6">
        <f>100*Q6/D6</f>
        <v>0</v>
      </c>
    </row>
    <row r="7" spans="1:30" x14ac:dyDescent="0.2">
      <c r="A7">
        <v>2025</v>
      </c>
      <c r="B7" s="6" t="s">
        <v>75</v>
      </c>
      <c r="C7" t="s">
        <v>98</v>
      </c>
      <c r="D7" s="9">
        <v>2935</v>
      </c>
      <c r="E7" s="9">
        <v>2610</v>
      </c>
      <c r="F7" s="9">
        <v>2270</v>
      </c>
      <c r="G7" s="9">
        <v>340</v>
      </c>
      <c r="H7" s="9">
        <v>275</v>
      </c>
      <c r="I7" s="9">
        <v>165</v>
      </c>
      <c r="J7" s="9">
        <v>110</v>
      </c>
      <c r="K7" s="9">
        <v>40</v>
      </c>
      <c r="L7" s="9">
        <v>30</v>
      </c>
      <c r="M7" s="9">
        <v>10</v>
      </c>
      <c r="N7" s="9">
        <v>10</v>
      </c>
      <c r="O7" s="9">
        <v>5</v>
      </c>
      <c r="P7" s="9">
        <v>0</v>
      </c>
      <c r="Q7" s="9">
        <v>5</v>
      </c>
      <c r="R7">
        <f>100*E7/D7</f>
        <v>88.926746166950593</v>
      </c>
      <c r="S7">
        <f>100*F7/D7</f>
        <v>77.34241908006814</v>
      </c>
      <c r="T7">
        <f>100*G7/D7</f>
        <v>11.584327086882453</v>
      </c>
      <c r="U7">
        <f>100*H7/D7</f>
        <v>9.369676320272573</v>
      </c>
      <c r="V7">
        <f>100*I7/D7</f>
        <v>5.6218057921635438</v>
      </c>
      <c r="W7">
        <f>100*J7/D7</f>
        <v>3.7478705281090288</v>
      </c>
      <c r="X7">
        <f>100*K7/D7</f>
        <v>1.362862010221465</v>
      </c>
      <c r="Y7">
        <f>100*L7/D7</f>
        <v>1.0221465076660987</v>
      </c>
      <c r="Z7">
        <f>100*M7/D7</f>
        <v>0.34071550255536626</v>
      </c>
      <c r="AA7">
        <f>100*N7/D7</f>
        <v>0.34071550255536626</v>
      </c>
      <c r="AB7">
        <f>100*O7/D7</f>
        <v>0.17035775127768313</v>
      </c>
      <c r="AC7">
        <f>100*P7/D7</f>
        <v>0</v>
      </c>
      <c r="AD7">
        <f>100*Q7/D7</f>
        <v>0.17035775127768313</v>
      </c>
    </row>
    <row r="8" spans="1:30" x14ac:dyDescent="0.2">
      <c r="A8">
        <v>2025</v>
      </c>
      <c r="B8" s="6" t="s">
        <v>76</v>
      </c>
      <c r="C8" t="s">
        <v>98</v>
      </c>
      <c r="D8" s="9">
        <v>4620</v>
      </c>
      <c r="E8" s="9">
        <v>4080</v>
      </c>
      <c r="F8" s="9">
        <v>3535</v>
      </c>
      <c r="G8" s="9">
        <v>545</v>
      </c>
      <c r="H8" s="9">
        <v>440</v>
      </c>
      <c r="I8" s="9">
        <v>275</v>
      </c>
      <c r="J8" s="9">
        <v>165</v>
      </c>
      <c r="K8" s="9">
        <v>80</v>
      </c>
      <c r="L8" s="9">
        <v>50</v>
      </c>
      <c r="M8" s="9">
        <v>30</v>
      </c>
      <c r="N8" s="9">
        <v>20</v>
      </c>
      <c r="O8" s="9">
        <v>15</v>
      </c>
      <c r="P8" s="9">
        <v>5</v>
      </c>
      <c r="Q8" s="9">
        <v>0</v>
      </c>
      <c r="R8">
        <f>100*E8/D8</f>
        <v>88.311688311688314</v>
      </c>
      <c r="S8">
        <f>100*F8/D8</f>
        <v>76.515151515151516</v>
      </c>
      <c r="T8">
        <f>100*G8/D8</f>
        <v>11.796536796536797</v>
      </c>
      <c r="U8">
        <f>100*H8/D8</f>
        <v>9.5238095238095237</v>
      </c>
      <c r="V8">
        <f>100*I8/D8</f>
        <v>5.9523809523809526</v>
      </c>
      <c r="W8">
        <f>100*J8/D8</f>
        <v>3.5714285714285716</v>
      </c>
      <c r="X8">
        <f>100*K8/D8</f>
        <v>1.7316017316017316</v>
      </c>
      <c r="Y8">
        <f>100*L8/D8</f>
        <v>1.0822510822510822</v>
      </c>
      <c r="Z8">
        <f>100*M8/D8</f>
        <v>0.64935064935064934</v>
      </c>
      <c r="AA8">
        <f>100*N8/D8</f>
        <v>0.4329004329004329</v>
      </c>
      <c r="AB8">
        <f>100*O8/D8</f>
        <v>0.32467532467532467</v>
      </c>
      <c r="AC8">
        <f>100*P8/D8</f>
        <v>0.10822510822510822</v>
      </c>
      <c r="AD8">
        <f>100*Q8/D8</f>
        <v>0</v>
      </c>
    </row>
    <row r="9" spans="1:30" x14ac:dyDescent="0.2">
      <c r="A9">
        <v>2025</v>
      </c>
      <c r="B9" s="6" t="s">
        <v>77</v>
      </c>
      <c r="C9" t="s">
        <v>98</v>
      </c>
      <c r="D9" s="9">
        <v>3690</v>
      </c>
      <c r="E9" s="9">
        <v>3280</v>
      </c>
      <c r="F9" s="9">
        <v>2855</v>
      </c>
      <c r="G9" s="9">
        <v>425</v>
      </c>
      <c r="H9" s="9">
        <v>325</v>
      </c>
      <c r="I9" s="9">
        <v>195</v>
      </c>
      <c r="J9" s="9">
        <v>130</v>
      </c>
      <c r="K9" s="9">
        <v>70</v>
      </c>
      <c r="L9" s="9">
        <v>55</v>
      </c>
      <c r="M9" s="9">
        <v>15</v>
      </c>
      <c r="N9" s="9">
        <v>15</v>
      </c>
      <c r="O9" s="9">
        <v>10</v>
      </c>
      <c r="P9" s="9">
        <v>5</v>
      </c>
      <c r="Q9" s="9">
        <v>0</v>
      </c>
      <c r="R9">
        <f>100*E9/D9</f>
        <v>88.888888888888886</v>
      </c>
      <c r="S9">
        <f>100*F9/D9</f>
        <v>77.371273712737121</v>
      </c>
      <c r="T9">
        <f>100*G9/D9</f>
        <v>11.517615176151761</v>
      </c>
      <c r="U9">
        <f>100*H9/D9</f>
        <v>8.8075880758807585</v>
      </c>
      <c r="V9">
        <f>100*I9/D9</f>
        <v>5.2845528455284549</v>
      </c>
      <c r="W9">
        <f>100*J9/D9</f>
        <v>3.5230352303523036</v>
      </c>
      <c r="X9">
        <f>100*K9/D9</f>
        <v>1.897018970189702</v>
      </c>
      <c r="Y9">
        <f>100*L9/D9</f>
        <v>1.4905149051490514</v>
      </c>
      <c r="Z9">
        <f>100*M9/D9</f>
        <v>0.4065040650406504</v>
      </c>
      <c r="AA9">
        <f>100*N9/D9</f>
        <v>0.4065040650406504</v>
      </c>
      <c r="AB9">
        <f>100*O9/D9</f>
        <v>0.27100271002710025</v>
      </c>
      <c r="AC9">
        <f>100*P9/D9</f>
        <v>0.13550135501355012</v>
      </c>
      <c r="AD9">
        <f>100*Q9/D9</f>
        <v>0</v>
      </c>
    </row>
    <row r="10" spans="1:30" x14ac:dyDescent="0.2">
      <c r="A10">
        <v>2025</v>
      </c>
      <c r="B10" s="6" t="s">
        <v>78</v>
      </c>
      <c r="C10" t="s">
        <v>98</v>
      </c>
      <c r="D10" s="9">
        <v>3830</v>
      </c>
      <c r="E10" s="9">
        <v>3485</v>
      </c>
      <c r="F10" s="9">
        <v>3085</v>
      </c>
      <c r="G10" s="9">
        <v>400</v>
      </c>
      <c r="H10" s="9">
        <v>305</v>
      </c>
      <c r="I10" s="9">
        <v>210</v>
      </c>
      <c r="J10" s="9">
        <v>95</v>
      </c>
      <c r="K10" s="9">
        <v>35</v>
      </c>
      <c r="L10" s="9">
        <v>20</v>
      </c>
      <c r="M10" s="9">
        <v>10</v>
      </c>
      <c r="N10" s="9">
        <v>5</v>
      </c>
      <c r="O10" s="9">
        <v>0</v>
      </c>
      <c r="P10" s="9">
        <v>0</v>
      </c>
      <c r="Q10" s="9">
        <v>0</v>
      </c>
      <c r="R10">
        <f>100*E10/D10</f>
        <v>90.992167101827675</v>
      </c>
      <c r="S10">
        <f>100*F10/D10</f>
        <v>80.548302872062663</v>
      </c>
      <c r="T10">
        <f>100*G10/D10</f>
        <v>10.443864229765014</v>
      </c>
      <c r="U10">
        <f>100*H10/D10</f>
        <v>7.9634464751958225</v>
      </c>
      <c r="V10">
        <f>100*I10/D10</f>
        <v>5.4830287206266322</v>
      </c>
      <c r="W10">
        <f>100*J10/D10</f>
        <v>2.4804177545691908</v>
      </c>
      <c r="X10">
        <f>100*K10/D10</f>
        <v>0.91383812010443866</v>
      </c>
      <c r="Y10">
        <f>100*L10/D10</f>
        <v>0.52219321148825071</v>
      </c>
      <c r="Z10">
        <f>100*M10/D10</f>
        <v>0.26109660574412535</v>
      </c>
      <c r="AA10">
        <f>100*N10/D10</f>
        <v>0.13054830287206268</v>
      </c>
      <c r="AB10">
        <f>100*O10/D10</f>
        <v>0</v>
      </c>
      <c r="AC10">
        <f>100*P10/D10</f>
        <v>0</v>
      </c>
      <c r="AD10">
        <f>100*Q10/D10</f>
        <v>0</v>
      </c>
    </row>
    <row r="11" spans="1:30" x14ac:dyDescent="0.2">
      <c r="A11">
        <v>2025</v>
      </c>
      <c r="B11" s="6" t="s">
        <v>79</v>
      </c>
      <c r="C11" t="s">
        <v>98</v>
      </c>
      <c r="D11" s="9">
        <v>3185</v>
      </c>
      <c r="E11" s="9">
        <v>2840</v>
      </c>
      <c r="F11" s="9">
        <v>2530</v>
      </c>
      <c r="G11" s="9">
        <v>305</v>
      </c>
      <c r="H11" s="9">
        <v>250</v>
      </c>
      <c r="I11" s="9">
        <v>150</v>
      </c>
      <c r="J11" s="9">
        <v>100</v>
      </c>
      <c r="K11" s="9">
        <v>85</v>
      </c>
      <c r="L11" s="9">
        <v>60</v>
      </c>
      <c r="M11" s="9">
        <v>25</v>
      </c>
      <c r="N11" s="9">
        <v>15</v>
      </c>
      <c r="O11" s="9">
        <v>5</v>
      </c>
      <c r="P11" s="9">
        <v>0</v>
      </c>
      <c r="Q11" s="9">
        <v>5</v>
      </c>
      <c r="R11">
        <f>100*E11/D11</f>
        <v>89.167974882260594</v>
      </c>
      <c r="S11">
        <f>100*F11/D11</f>
        <v>79.434850863422298</v>
      </c>
      <c r="T11">
        <f>100*G11/D11</f>
        <v>9.5761381475667182</v>
      </c>
      <c r="U11">
        <f>100*H11/D11</f>
        <v>7.8492935635792778</v>
      </c>
      <c r="V11">
        <f>100*I11/D11</f>
        <v>4.7095761381475665</v>
      </c>
      <c r="W11">
        <f>100*J11/D11</f>
        <v>3.1397174254317113</v>
      </c>
      <c r="X11">
        <f>100*K11/D11</f>
        <v>2.6687598116169546</v>
      </c>
      <c r="Y11">
        <f>100*L11/D11</f>
        <v>1.8838304552590266</v>
      </c>
      <c r="Z11">
        <f>100*M11/D11</f>
        <v>0.78492935635792782</v>
      </c>
      <c r="AA11">
        <f>100*N11/D11</f>
        <v>0.47095761381475665</v>
      </c>
      <c r="AB11">
        <f>100*O11/D11</f>
        <v>0.15698587127158556</v>
      </c>
      <c r="AC11">
        <f>100*P11/D11</f>
        <v>0</v>
      </c>
      <c r="AD11">
        <f>100*Q11/D11</f>
        <v>0.15698587127158556</v>
      </c>
    </row>
    <row r="12" spans="1:30" x14ac:dyDescent="0.2">
      <c r="A12">
        <v>2025</v>
      </c>
      <c r="B12" s="6" t="s">
        <v>80</v>
      </c>
      <c r="C12" t="s">
        <v>98</v>
      </c>
      <c r="D12" s="9">
        <v>4080</v>
      </c>
      <c r="E12" s="9">
        <v>3710</v>
      </c>
      <c r="F12" s="9">
        <v>3225</v>
      </c>
      <c r="G12" s="9">
        <v>485</v>
      </c>
      <c r="H12" s="9">
        <v>320</v>
      </c>
      <c r="I12" s="9">
        <v>205</v>
      </c>
      <c r="J12" s="9">
        <v>115</v>
      </c>
      <c r="K12" s="9">
        <v>45</v>
      </c>
      <c r="L12" s="9">
        <v>35</v>
      </c>
      <c r="M12" s="9">
        <v>10</v>
      </c>
      <c r="N12" s="9">
        <v>0</v>
      </c>
      <c r="O12" s="9">
        <v>0</v>
      </c>
      <c r="P12" s="9">
        <v>0</v>
      </c>
      <c r="Q12" s="9">
        <v>0</v>
      </c>
      <c r="R12">
        <f>100*E12/D12</f>
        <v>90.931372549019613</v>
      </c>
      <c r="S12">
        <f>100*F12/D12</f>
        <v>79.044117647058826</v>
      </c>
      <c r="T12">
        <f>100*G12/D12</f>
        <v>11.887254901960784</v>
      </c>
      <c r="U12">
        <f>100*H12/D12</f>
        <v>7.8431372549019605</v>
      </c>
      <c r="V12">
        <f>100*I12/D12</f>
        <v>5.0245098039215685</v>
      </c>
      <c r="W12">
        <f>100*J12/D12</f>
        <v>2.8186274509803924</v>
      </c>
      <c r="X12">
        <f>100*K12/D12</f>
        <v>1.1029411764705883</v>
      </c>
      <c r="Y12">
        <f>100*L12/D12</f>
        <v>0.85784313725490191</v>
      </c>
      <c r="Z12">
        <f>100*M12/D12</f>
        <v>0.24509803921568626</v>
      </c>
      <c r="AA12">
        <f>100*N12/D12</f>
        <v>0</v>
      </c>
      <c r="AB12">
        <f>100*O12/D12</f>
        <v>0</v>
      </c>
      <c r="AC12">
        <f>100*P12/D12</f>
        <v>0</v>
      </c>
      <c r="AD12">
        <f>100*Q12/D12</f>
        <v>0</v>
      </c>
    </row>
    <row r="13" spans="1:30" x14ac:dyDescent="0.2">
      <c r="A13">
        <v>2025</v>
      </c>
      <c r="B13" s="6" t="s">
        <v>81</v>
      </c>
      <c r="C13" t="s">
        <v>98</v>
      </c>
      <c r="D13" s="9">
        <v>4405</v>
      </c>
      <c r="E13" s="9">
        <v>3990</v>
      </c>
      <c r="F13" s="9">
        <v>3475</v>
      </c>
      <c r="G13" s="9">
        <v>510</v>
      </c>
      <c r="H13" s="9">
        <v>350</v>
      </c>
      <c r="I13" s="9">
        <v>220</v>
      </c>
      <c r="J13" s="9">
        <v>130</v>
      </c>
      <c r="K13" s="9">
        <v>55</v>
      </c>
      <c r="L13" s="9">
        <v>40</v>
      </c>
      <c r="M13" s="9">
        <v>20</v>
      </c>
      <c r="N13" s="9">
        <v>10</v>
      </c>
      <c r="O13" s="9">
        <v>10</v>
      </c>
      <c r="P13" s="9">
        <v>0</v>
      </c>
      <c r="Q13" s="9">
        <v>0</v>
      </c>
      <c r="R13">
        <f>100*E13/D13</f>
        <v>90.578887627695806</v>
      </c>
      <c r="S13">
        <f>100*F13/D13</f>
        <v>78.887627695800234</v>
      </c>
      <c r="T13">
        <f>100*G13/D13</f>
        <v>11.577752553916005</v>
      </c>
      <c r="U13">
        <f>100*H13/D13</f>
        <v>7.9455164585698066</v>
      </c>
      <c r="V13">
        <f>100*I13/D13</f>
        <v>4.9943246311010219</v>
      </c>
      <c r="W13">
        <f>100*J13/D13</f>
        <v>2.9511918274687856</v>
      </c>
      <c r="X13">
        <f>100*K13/D13</f>
        <v>1.2485811577752555</v>
      </c>
      <c r="Y13">
        <f>100*L13/D13</f>
        <v>0.90805902383654935</v>
      </c>
      <c r="Z13">
        <f>100*M13/D13</f>
        <v>0.45402951191827468</v>
      </c>
      <c r="AA13">
        <f>100*N13/D13</f>
        <v>0.22701475595913734</v>
      </c>
      <c r="AB13">
        <f>100*O13/D13</f>
        <v>0.22701475595913734</v>
      </c>
      <c r="AC13">
        <f>100*P13/D13</f>
        <v>0</v>
      </c>
      <c r="AD13">
        <f>100*Q13/D13</f>
        <v>0</v>
      </c>
    </row>
    <row r="14" spans="1:30" x14ac:dyDescent="0.2">
      <c r="A14">
        <v>2025</v>
      </c>
      <c r="B14" s="6" t="s">
        <v>82</v>
      </c>
      <c r="C14" t="s">
        <v>98</v>
      </c>
      <c r="D14" s="9">
        <v>3325</v>
      </c>
      <c r="E14" s="9">
        <v>2825</v>
      </c>
      <c r="F14" s="9">
        <v>2400</v>
      </c>
      <c r="G14" s="9">
        <v>425</v>
      </c>
      <c r="H14" s="9">
        <v>385</v>
      </c>
      <c r="I14" s="9">
        <v>235</v>
      </c>
      <c r="J14" s="9">
        <v>150</v>
      </c>
      <c r="K14" s="9">
        <v>100</v>
      </c>
      <c r="L14" s="9">
        <v>70</v>
      </c>
      <c r="M14" s="9">
        <v>35</v>
      </c>
      <c r="N14" s="9">
        <v>10</v>
      </c>
      <c r="O14" s="9">
        <v>10</v>
      </c>
      <c r="P14" s="9">
        <v>5</v>
      </c>
      <c r="Q14" s="9">
        <v>0</v>
      </c>
      <c r="R14">
        <f>100*E14/D14</f>
        <v>84.962406015037601</v>
      </c>
      <c r="S14">
        <f>100*F14/D14</f>
        <v>72.180451127819552</v>
      </c>
      <c r="T14">
        <f>100*G14/D14</f>
        <v>12.781954887218046</v>
      </c>
      <c r="U14">
        <f>100*H14/D14</f>
        <v>11.578947368421053</v>
      </c>
      <c r="V14">
        <f>100*I14/D14</f>
        <v>7.0676691729323311</v>
      </c>
      <c r="W14">
        <f>100*J14/D14</f>
        <v>4.511278195488722</v>
      </c>
      <c r="X14">
        <f>100*K14/D14</f>
        <v>3.007518796992481</v>
      </c>
      <c r="Y14">
        <f>100*L14/D14</f>
        <v>2.1052631578947367</v>
      </c>
      <c r="Z14">
        <f>100*M14/D14</f>
        <v>1.0526315789473684</v>
      </c>
      <c r="AA14">
        <f>100*N14/D14</f>
        <v>0.3007518796992481</v>
      </c>
      <c r="AB14">
        <f>100*O14/D14</f>
        <v>0.3007518796992481</v>
      </c>
      <c r="AC14">
        <f>100*P14/D14</f>
        <v>0.15037593984962405</v>
      </c>
      <c r="AD14">
        <f>100*Q14/D14</f>
        <v>0</v>
      </c>
    </row>
    <row r="15" spans="1:30" x14ac:dyDescent="0.2">
      <c r="A15">
        <v>2025</v>
      </c>
      <c r="B15" s="6" t="s">
        <v>83</v>
      </c>
      <c r="C15" t="s">
        <v>98</v>
      </c>
      <c r="D15" s="9">
        <v>4025</v>
      </c>
      <c r="E15" s="9">
        <v>3620</v>
      </c>
      <c r="F15" s="9">
        <v>3180</v>
      </c>
      <c r="G15" s="9">
        <v>440</v>
      </c>
      <c r="H15" s="9">
        <v>340</v>
      </c>
      <c r="I15" s="9">
        <v>225</v>
      </c>
      <c r="J15" s="9">
        <v>120</v>
      </c>
      <c r="K15" s="9">
        <v>55</v>
      </c>
      <c r="L15" s="9">
        <v>40</v>
      </c>
      <c r="M15" s="9">
        <v>15</v>
      </c>
      <c r="N15" s="9">
        <v>10</v>
      </c>
      <c r="O15" s="9">
        <v>5</v>
      </c>
      <c r="P15" s="9">
        <v>5</v>
      </c>
      <c r="Q15" s="9">
        <v>0</v>
      </c>
      <c r="R15">
        <f>100*E15/D15</f>
        <v>89.937888198757761</v>
      </c>
      <c r="S15">
        <f>100*F15/D15</f>
        <v>79.006211180124225</v>
      </c>
      <c r="T15">
        <f>100*G15/D15</f>
        <v>10.93167701863354</v>
      </c>
      <c r="U15">
        <f>100*H15/D15</f>
        <v>8.4472049689440993</v>
      </c>
      <c r="V15">
        <f>100*I15/D15</f>
        <v>5.5900621118012426</v>
      </c>
      <c r="W15">
        <f>100*J15/D15</f>
        <v>2.981366459627329</v>
      </c>
      <c r="X15">
        <f>100*K15/D15</f>
        <v>1.3664596273291925</v>
      </c>
      <c r="Y15">
        <f>100*L15/D15</f>
        <v>0.99378881987577639</v>
      </c>
      <c r="Z15">
        <f>100*M15/D15</f>
        <v>0.37267080745341613</v>
      </c>
      <c r="AA15">
        <f>100*N15/D15</f>
        <v>0.2484472049689441</v>
      </c>
      <c r="AB15">
        <f>100*O15/D15</f>
        <v>0.12422360248447205</v>
      </c>
      <c r="AC15">
        <f>100*P15/D15</f>
        <v>0.12422360248447205</v>
      </c>
      <c r="AD15">
        <f>100*Q15/D15</f>
        <v>0</v>
      </c>
    </row>
    <row r="16" spans="1:30" x14ac:dyDescent="0.2">
      <c r="A16">
        <v>2025</v>
      </c>
      <c r="B16" s="6" t="s">
        <v>84</v>
      </c>
      <c r="C16" t="s">
        <v>98</v>
      </c>
      <c r="D16" s="9">
        <v>5565</v>
      </c>
      <c r="E16" s="9">
        <v>4990</v>
      </c>
      <c r="F16" s="9">
        <v>4390</v>
      </c>
      <c r="G16" s="9">
        <v>600</v>
      </c>
      <c r="H16" s="9">
        <v>475</v>
      </c>
      <c r="I16" s="9">
        <v>300</v>
      </c>
      <c r="J16" s="9">
        <v>175</v>
      </c>
      <c r="K16" s="9">
        <v>85</v>
      </c>
      <c r="L16" s="9">
        <v>55</v>
      </c>
      <c r="M16" s="9">
        <v>30</v>
      </c>
      <c r="N16" s="9">
        <v>15</v>
      </c>
      <c r="O16" s="9">
        <v>5</v>
      </c>
      <c r="P16" s="9">
        <v>5</v>
      </c>
      <c r="Q16" s="9">
        <v>0</v>
      </c>
      <c r="R16">
        <f>100*E16/D16</f>
        <v>89.667565139263246</v>
      </c>
      <c r="S16">
        <f>100*F16/D16</f>
        <v>78.885893980233604</v>
      </c>
      <c r="T16">
        <f>100*G16/D16</f>
        <v>10.781671159029649</v>
      </c>
      <c r="U16">
        <f>100*H16/D16</f>
        <v>8.5354896675651393</v>
      </c>
      <c r="V16">
        <f>100*I16/D16</f>
        <v>5.3908355795148246</v>
      </c>
      <c r="W16">
        <f>100*J16/D16</f>
        <v>3.1446540880503147</v>
      </c>
      <c r="X16">
        <f>100*K16/D16</f>
        <v>1.527403414195867</v>
      </c>
      <c r="Y16">
        <f>100*L16/D16</f>
        <v>0.98831985624438456</v>
      </c>
      <c r="Z16">
        <f>100*M16/D16</f>
        <v>0.53908355795148244</v>
      </c>
      <c r="AA16">
        <f>100*N16/D16</f>
        <v>0.26954177897574122</v>
      </c>
      <c r="AB16">
        <f>100*O16/D16</f>
        <v>8.9847259658580411E-2</v>
      </c>
      <c r="AC16">
        <f>100*P16/D16</f>
        <v>8.9847259658580411E-2</v>
      </c>
      <c r="AD16">
        <f>100*Q16/D16</f>
        <v>0</v>
      </c>
    </row>
    <row r="17" spans="1:30" x14ac:dyDescent="0.2">
      <c r="A17">
        <v>2025</v>
      </c>
      <c r="B17" s="6" t="s">
        <v>85</v>
      </c>
      <c r="C17" t="s">
        <v>98</v>
      </c>
      <c r="D17" s="9">
        <v>3740</v>
      </c>
      <c r="E17" s="9">
        <v>3360</v>
      </c>
      <c r="F17" s="9">
        <v>2955</v>
      </c>
      <c r="G17" s="9">
        <v>405</v>
      </c>
      <c r="H17" s="9">
        <v>320</v>
      </c>
      <c r="I17" s="9">
        <v>215</v>
      </c>
      <c r="J17" s="9">
        <v>105</v>
      </c>
      <c r="K17" s="9">
        <v>50</v>
      </c>
      <c r="L17" s="9">
        <v>35</v>
      </c>
      <c r="M17" s="9">
        <v>15</v>
      </c>
      <c r="N17" s="9">
        <v>10</v>
      </c>
      <c r="O17" s="9">
        <v>5</v>
      </c>
      <c r="P17" s="9">
        <v>0</v>
      </c>
      <c r="Q17" s="9">
        <v>5</v>
      </c>
      <c r="R17">
        <f>100*E17/D17</f>
        <v>89.839572192513373</v>
      </c>
      <c r="S17">
        <f>100*F17/D17</f>
        <v>79.01069518716578</v>
      </c>
      <c r="T17">
        <f>100*G17/D17</f>
        <v>10.828877005347593</v>
      </c>
      <c r="U17">
        <f>100*H17/D17</f>
        <v>8.5561497326203213</v>
      </c>
      <c r="V17">
        <f>100*I17/D17</f>
        <v>5.7486631016042784</v>
      </c>
      <c r="W17">
        <f>100*J17/D17</f>
        <v>2.8074866310160429</v>
      </c>
      <c r="X17">
        <f>100*K17/D17</f>
        <v>1.3368983957219251</v>
      </c>
      <c r="Y17">
        <f>100*L17/D17</f>
        <v>0.93582887700534756</v>
      </c>
      <c r="Z17">
        <f>100*M17/D17</f>
        <v>0.40106951871657753</v>
      </c>
      <c r="AA17">
        <f>100*N17/D17</f>
        <v>0.26737967914438504</v>
      </c>
      <c r="AB17">
        <f>100*O17/D17</f>
        <v>0.13368983957219252</v>
      </c>
      <c r="AC17">
        <f>100*P17/D17</f>
        <v>0</v>
      </c>
      <c r="AD17">
        <f>100*Q17/D17</f>
        <v>0.13368983957219252</v>
      </c>
    </row>
    <row r="18" spans="1:30" x14ac:dyDescent="0.2">
      <c r="A18">
        <v>2025</v>
      </c>
      <c r="B18" s="6" t="s">
        <v>3</v>
      </c>
      <c r="C18" t="s">
        <v>98</v>
      </c>
      <c r="D18" s="9">
        <v>4185</v>
      </c>
      <c r="E18" s="9">
        <v>3770</v>
      </c>
      <c r="F18" s="9">
        <v>3320</v>
      </c>
      <c r="G18" s="9">
        <v>450</v>
      </c>
      <c r="H18" s="9">
        <v>360</v>
      </c>
      <c r="I18" s="9">
        <v>245</v>
      </c>
      <c r="J18" s="9">
        <v>120</v>
      </c>
      <c r="K18" s="9">
        <v>45</v>
      </c>
      <c r="L18" s="9">
        <v>35</v>
      </c>
      <c r="M18" s="9">
        <v>5</v>
      </c>
      <c r="N18" s="9">
        <v>10</v>
      </c>
      <c r="O18" s="9">
        <v>5</v>
      </c>
      <c r="P18" s="9">
        <v>0</v>
      </c>
      <c r="Q18" s="9">
        <v>0</v>
      </c>
      <c r="R18">
        <f>100*E18/D18</f>
        <v>90.083632019115896</v>
      </c>
      <c r="S18">
        <f>100*F18/D18</f>
        <v>79.330943847072874</v>
      </c>
      <c r="T18">
        <f>100*G18/D18</f>
        <v>10.75268817204301</v>
      </c>
      <c r="U18">
        <f>100*H18/D18</f>
        <v>8.6021505376344081</v>
      </c>
      <c r="V18">
        <f>100*I18/D18</f>
        <v>5.8542413381123062</v>
      </c>
      <c r="W18">
        <f>100*J18/D18</f>
        <v>2.8673835125448028</v>
      </c>
      <c r="X18">
        <f>100*K18/D18</f>
        <v>1.075268817204301</v>
      </c>
      <c r="Y18">
        <f>100*L18/D18</f>
        <v>0.83632019115890088</v>
      </c>
      <c r="Z18">
        <f>100*M18/D18</f>
        <v>0.11947431302270012</v>
      </c>
      <c r="AA18">
        <f>100*N18/D18</f>
        <v>0.23894862604540024</v>
      </c>
      <c r="AB18">
        <f>100*O18/D18</f>
        <v>0.11947431302270012</v>
      </c>
      <c r="AC18">
        <f>100*P18/D18</f>
        <v>0</v>
      </c>
      <c r="AD18">
        <f>100*Q18/D18</f>
        <v>0</v>
      </c>
    </row>
    <row r="19" spans="1:30" x14ac:dyDescent="0.2">
      <c r="A19">
        <v>2025</v>
      </c>
      <c r="B19" s="6" t="s">
        <v>86</v>
      </c>
      <c r="C19" t="s">
        <v>98</v>
      </c>
      <c r="D19" s="9">
        <v>4340</v>
      </c>
      <c r="E19" s="9">
        <v>3850</v>
      </c>
      <c r="F19" s="9">
        <v>3385</v>
      </c>
      <c r="G19" s="9">
        <v>465</v>
      </c>
      <c r="H19" s="9">
        <v>410</v>
      </c>
      <c r="I19" s="9">
        <v>255</v>
      </c>
      <c r="J19" s="9">
        <v>150</v>
      </c>
      <c r="K19" s="9">
        <v>75</v>
      </c>
      <c r="L19" s="9">
        <v>50</v>
      </c>
      <c r="M19" s="9">
        <v>20</v>
      </c>
      <c r="N19" s="9">
        <v>10</v>
      </c>
      <c r="O19" s="9">
        <v>10</v>
      </c>
      <c r="P19" s="9">
        <v>0</v>
      </c>
      <c r="Q19" s="9">
        <v>0</v>
      </c>
      <c r="R19">
        <f>100*E19/D19</f>
        <v>88.709677419354833</v>
      </c>
      <c r="S19">
        <f>100*F19/D19</f>
        <v>77.995391705069125</v>
      </c>
      <c r="T19">
        <f>100*G19/D19</f>
        <v>10.714285714285714</v>
      </c>
      <c r="U19">
        <f>100*H19/D19</f>
        <v>9.4470046082949306</v>
      </c>
      <c r="V19">
        <f>100*I19/D19</f>
        <v>5.8755760368663594</v>
      </c>
      <c r="W19">
        <f>100*J19/D19</f>
        <v>3.4562211981566819</v>
      </c>
      <c r="X19">
        <f>100*K19/D19</f>
        <v>1.728110599078341</v>
      </c>
      <c r="Y19">
        <f>100*L19/D19</f>
        <v>1.1520737327188939</v>
      </c>
      <c r="Z19">
        <f>100*M19/D19</f>
        <v>0.46082949308755761</v>
      </c>
      <c r="AA19">
        <f>100*N19/D19</f>
        <v>0.2304147465437788</v>
      </c>
      <c r="AB19">
        <f>100*O19/D19</f>
        <v>0.2304147465437788</v>
      </c>
      <c r="AC19">
        <f>100*P19/D19</f>
        <v>0</v>
      </c>
      <c r="AD19">
        <f>100*Q19/D19</f>
        <v>0</v>
      </c>
    </row>
    <row r="20" spans="1:30" x14ac:dyDescent="0.2">
      <c r="A20">
        <v>2025</v>
      </c>
      <c r="B20" s="6" t="s">
        <v>87</v>
      </c>
      <c r="C20" t="s">
        <v>98</v>
      </c>
      <c r="D20" s="9">
        <v>5640</v>
      </c>
      <c r="E20" s="9">
        <v>5095</v>
      </c>
      <c r="F20" s="9">
        <v>4455</v>
      </c>
      <c r="G20" s="9">
        <v>640</v>
      </c>
      <c r="H20" s="9">
        <v>455</v>
      </c>
      <c r="I20" s="9">
        <v>300</v>
      </c>
      <c r="J20" s="9">
        <v>155</v>
      </c>
      <c r="K20" s="9">
        <v>75</v>
      </c>
      <c r="L20" s="9">
        <v>60</v>
      </c>
      <c r="M20" s="9">
        <v>15</v>
      </c>
      <c r="N20" s="9">
        <v>15</v>
      </c>
      <c r="O20" s="9">
        <v>5</v>
      </c>
      <c r="P20" s="9">
        <v>5</v>
      </c>
      <c r="Q20" s="9">
        <v>5</v>
      </c>
      <c r="R20">
        <f>100*E20/D20</f>
        <v>90.336879432624116</v>
      </c>
      <c r="S20">
        <f>100*F20/D20</f>
        <v>78.989361702127653</v>
      </c>
      <c r="T20">
        <f>100*G20/D20</f>
        <v>11.347517730496454</v>
      </c>
      <c r="U20">
        <f>100*H20/D20</f>
        <v>8.0673758865248235</v>
      </c>
      <c r="V20">
        <f>100*I20/D20</f>
        <v>5.3191489361702127</v>
      </c>
      <c r="W20">
        <f>100*J20/D20</f>
        <v>2.74822695035461</v>
      </c>
      <c r="X20">
        <f>100*K20/D20</f>
        <v>1.3297872340425532</v>
      </c>
      <c r="Y20">
        <f>100*L20/D20</f>
        <v>1.0638297872340425</v>
      </c>
      <c r="Z20">
        <f>100*M20/D20</f>
        <v>0.26595744680851063</v>
      </c>
      <c r="AA20">
        <f>100*N20/D20</f>
        <v>0.26595744680851063</v>
      </c>
      <c r="AB20">
        <f>100*O20/D20</f>
        <v>8.8652482269503549E-2</v>
      </c>
      <c r="AC20">
        <f>100*P20/D20</f>
        <v>8.8652482269503549E-2</v>
      </c>
      <c r="AD20">
        <f>100*Q20/D20</f>
        <v>8.8652482269503549E-2</v>
      </c>
    </row>
    <row r="21" spans="1:30" x14ac:dyDescent="0.2">
      <c r="A21">
        <v>2025</v>
      </c>
      <c r="B21" s="6" t="s">
        <v>88</v>
      </c>
      <c r="C21" t="s">
        <v>98</v>
      </c>
      <c r="D21" s="9">
        <v>3175</v>
      </c>
      <c r="E21" s="9">
        <v>2835</v>
      </c>
      <c r="F21" s="9">
        <v>2465</v>
      </c>
      <c r="G21" s="9">
        <v>365</v>
      </c>
      <c r="H21" s="9">
        <v>285</v>
      </c>
      <c r="I21" s="9">
        <v>180</v>
      </c>
      <c r="J21" s="9">
        <v>105</v>
      </c>
      <c r="K21" s="9">
        <v>45</v>
      </c>
      <c r="L21" s="9">
        <v>30</v>
      </c>
      <c r="M21" s="9">
        <v>15</v>
      </c>
      <c r="N21" s="9">
        <v>15</v>
      </c>
      <c r="O21" s="9">
        <v>5</v>
      </c>
      <c r="P21" s="9">
        <v>5</v>
      </c>
      <c r="Q21" s="9">
        <v>0</v>
      </c>
      <c r="R21">
        <f>100*E21/D21</f>
        <v>89.29133858267717</v>
      </c>
      <c r="S21">
        <f>100*F21/D21</f>
        <v>77.637795275590548</v>
      </c>
      <c r="T21">
        <f>100*G21/D21</f>
        <v>11.496062992125983</v>
      </c>
      <c r="U21">
        <f>100*H21/D21</f>
        <v>8.9763779527559056</v>
      </c>
      <c r="V21">
        <f>100*I21/D21</f>
        <v>5.6692913385826769</v>
      </c>
      <c r="W21">
        <f>100*J21/D21</f>
        <v>3.3070866141732282</v>
      </c>
      <c r="X21">
        <f>100*K21/D21</f>
        <v>1.4173228346456692</v>
      </c>
      <c r="Y21">
        <f>100*L21/D21</f>
        <v>0.94488188976377951</v>
      </c>
      <c r="Z21">
        <f>100*M21/D21</f>
        <v>0.47244094488188976</v>
      </c>
      <c r="AA21">
        <f>100*N21/D21</f>
        <v>0.47244094488188976</v>
      </c>
      <c r="AB21">
        <f>100*O21/D21</f>
        <v>0.15748031496062992</v>
      </c>
      <c r="AC21">
        <f>100*P21/D21</f>
        <v>0.15748031496062992</v>
      </c>
      <c r="AD21">
        <f>100*Q21/D21</f>
        <v>0</v>
      </c>
    </row>
    <row r="22" spans="1:30" x14ac:dyDescent="0.2">
      <c r="A22">
        <v>2025</v>
      </c>
      <c r="B22" s="6" t="s">
        <v>89</v>
      </c>
      <c r="C22" t="s">
        <v>98</v>
      </c>
      <c r="D22" s="9">
        <v>4335</v>
      </c>
      <c r="E22" s="9">
        <v>3845</v>
      </c>
      <c r="F22" s="9">
        <v>3370</v>
      </c>
      <c r="G22" s="9">
        <v>475</v>
      </c>
      <c r="H22" s="9">
        <v>420</v>
      </c>
      <c r="I22" s="9">
        <v>255</v>
      </c>
      <c r="J22" s="9">
        <v>165</v>
      </c>
      <c r="K22" s="9">
        <v>55</v>
      </c>
      <c r="L22" s="9">
        <v>40</v>
      </c>
      <c r="M22" s="9">
        <v>15</v>
      </c>
      <c r="N22" s="9">
        <v>15</v>
      </c>
      <c r="O22" s="9">
        <v>10</v>
      </c>
      <c r="P22" s="9">
        <v>5</v>
      </c>
      <c r="Q22" s="9">
        <v>0</v>
      </c>
      <c r="R22">
        <f>100*E22/D22</f>
        <v>88.696655132641297</v>
      </c>
      <c r="S22">
        <f>100*F22/D22</f>
        <v>77.739331026528262</v>
      </c>
      <c r="T22">
        <f>100*G22/D22</f>
        <v>10.957324106113033</v>
      </c>
      <c r="U22">
        <f>100*H22/D22</f>
        <v>9.688581314878892</v>
      </c>
      <c r="V22">
        <f>100*I22/D22</f>
        <v>5.882352941176471</v>
      </c>
      <c r="W22">
        <f>100*J22/D22</f>
        <v>3.8062283737024223</v>
      </c>
      <c r="X22">
        <f>100*K22/D22</f>
        <v>1.2687427912341407</v>
      </c>
      <c r="Y22">
        <f>100*L22/D22</f>
        <v>0.92272202998846597</v>
      </c>
      <c r="Z22">
        <f>100*M22/D22</f>
        <v>0.34602076124567471</v>
      </c>
      <c r="AA22">
        <f>100*N22/D22</f>
        <v>0.34602076124567471</v>
      </c>
      <c r="AB22">
        <f>100*O22/D22</f>
        <v>0.23068050749711649</v>
      </c>
      <c r="AC22">
        <f>100*P22/D22</f>
        <v>0.11534025374855825</v>
      </c>
      <c r="AD22">
        <f>100*Q22/D22</f>
        <v>0</v>
      </c>
    </row>
    <row r="23" spans="1:30" x14ac:dyDescent="0.2">
      <c r="A23">
        <v>2025</v>
      </c>
      <c r="B23" s="6" t="s">
        <v>90</v>
      </c>
      <c r="C23" t="s">
        <v>98</v>
      </c>
      <c r="D23" s="9">
        <v>3065</v>
      </c>
      <c r="E23" s="9">
        <v>2770</v>
      </c>
      <c r="F23" s="9">
        <v>2475</v>
      </c>
      <c r="G23" s="9">
        <v>295</v>
      </c>
      <c r="H23" s="9">
        <v>245</v>
      </c>
      <c r="I23" s="9">
        <v>165</v>
      </c>
      <c r="J23" s="9">
        <v>75</v>
      </c>
      <c r="K23" s="9">
        <v>45</v>
      </c>
      <c r="L23" s="9">
        <v>30</v>
      </c>
      <c r="M23" s="9">
        <v>20</v>
      </c>
      <c r="N23" s="9">
        <v>5</v>
      </c>
      <c r="O23" s="9">
        <v>5</v>
      </c>
      <c r="P23" s="9">
        <v>0</v>
      </c>
      <c r="Q23" s="9">
        <v>0</v>
      </c>
      <c r="R23">
        <f>100*E23/D23</f>
        <v>90.375203915171284</v>
      </c>
      <c r="S23">
        <f>100*F23/D23</f>
        <v>80.750407830342581</v>
      </c>
      <c r="T23">
        <f>100*G23/D23</f>
        <v>9.6247960848287111</v>
      </c>
      <c r="U23">
        <f>100*H23/D23</f>
        <v>7.9934747145187606</v>
      </c>
      <c r="V23">
        <f>100*I23/D23</f>
        <v>5.3833605220228389</v>
      </c>
      <c r="W23">
        <f>100*J23/D23</f>
        <v>2.4469820554649266</v>
      </c>
      <c r="X23">
        <f>100*K23/D23</f>
        <v>1.4681892332789559</v>
      </c>
      <c r="Y23">
        <f>100*L23/D23</f>
        <v>0.97879282218597063</v>
      </c>
      <c r="Z23">
        <f>100*M23/D23</f>
        <v>0.65252854812398042</v>
      </c>
      <c r="AA23">
        <f>100*N23/D23</f>
        <v>0.16313213703099511</v>
      </c>
      <c r="AB23">
        <f>100*O23/D23</f>
        <v>0.16313213703099511</v>
      </c>
      <c r="AC23">
        <f>100*P23/D23</f>
        <v>0</v>
      </c>
      <c r="AD23">
        <f>100*Q23/D23</f>
        <v>0</v>
      </c>
    </row>
    <row r="24" spans="1:30" x14ac:dyDescent="0.2">
      <c r="A24">
        <v>2025</v>
      </c>
      <c r="B24" s="6" t="s">
        <v>91</v>
      </c>
      <c r="C24" t="s">
        <v>98</v>
      </c>
      <c r="D24" s="9">
        <v>3340</v>
      </c>
      <c r="E24" s="9">
        <v>2990</v>
      </c>
      <c r="F24" s="9">
        <v>2655</v>
      </c>
      <c r="G24" s="9">
        <v>335</v>
      </c>
      <c r="H24" s="9">
        <v>265</v>
      </c>
      <c r="I24" s="9">
        <v>170</v>
      </c>
      <c r="J24" s="9">
        <v>95</v>
      </c>
      <c r="K24" s="9">
        <v>50</v>
      </c>
      <c r="L24" s="9">
        <v>30</v>
      </c>
      <c r="M24" s="9">
        <v>20</v>
      </c>
      <c r="N24" s="9">
        <v>30</v>
      </c>
      <c r="O24" s="9">
        <v>20</v>
      </c>
      <c r="P24" s="9">
        <v>5</v>
      </c>
      <c r="Q24" s="9">
        <v>5</v>
      </c>
      <c r="R24">
        <f>100*E24/D24</f>
        <v>89.52095808383234</v>
      </c>
      <c r="S24">
        <f>100*F24/D24</f>
        <v>79.491017964071858</v>
      </c>
      <c r="T24">
        <f>100*G24/D24</f>
        <v>10.029940119760479</v>
      </c>
      <c r="U24">
        <f>100*H24/D24</f>
        <v>7.9341317365269459</v>
      </c>
      <c r="V24">
        <f>100*I24/D24</f>
        <v>5.0898203592814371</v>
      </c>
      <c r="W24">
        <f>100*J24/D24</f>
        <v>2.8443113772455089</v>
      </c>
      <c r="X24">
        <f>100*K24/D24</f>
        <v>1.4970059880239521</v>
      </c>
      <c r="Y24">
        <f>100*L24/D24</f>
        <v>0.89820359281437123</v>
      </c>
      <c r="Z24">
        <f>100*M24/D24</f>
        <v>0.59880239520958078</v>
      </c>
      <c r="AA24">
        <f>100*N24/D24</f>
        <v>0.89820359281437123</v>
      </c>
      <c r="AB24">
        <f>100*O24/D24</f>
        <v>0.59880239520958078</v>
      </c>
      <c r="AC24">
        <f>100*P24/D24</f>
        <v>0.1497005988023952</v>
      </c>
      <c r="AD24">
        <f>100*Q24/D24</f>
        <v>0.1497005988023952</v>
      </c>
    </row>
    <row r="25" spans="1:30" x14ac:dyDescent="0.2">
      <c r="A25">
        <v>2025</v>
      </c>
      <c r="B25" s="6" t="s">
        <v>92</v>
      </c>
      <c r="C25" t="s">
        <v>98</v>
      </c>
      <c r="D25" s="9">
        <v>3855</v>
      </c>
      <c r="E25" s="9">
        <v>3415</v>
      </c>
      <c r="F25" s="9">
        <v>2945</v>
      </c>
      <c r="G25" s="9">
        <v>470</v>
      </c>
      <c r="H25" s="9">
        <v>360</v>
      </c>
      <c r="I25" s="9">
        <v>230</v>
      </c>
      <c r="J25" s="9">
        <v>125</v>
      </c>
      <c r="K25" s="9">
        <v>60</v>
      </c>
      <c r="L25" s="9">
        <v>35</v>
      </c>
      <c r="M25" s="9">
        <v>20</v>
      </c>
      <c r="N25" s="9">
        <v>20</v>
      </c>
      <c r="O25" s="9">
        <v>10</v>
      </c>
      <c r="P25" s="9">
        <v>5</v>
      </c>
      <c r="Q25" s="9">
        <v>5</v>
      </c>
      <c r="R25">
        <f>100*E25/D25</f>
        <v>88.586251621271074</v>
      </c>
      <c r="S25">
        <f>100*F25/D25</f>
        <v>76.394293125810634</v>
      </c>
      <c r="T25">
        <f>100*G25/D25</f>
        <v>12.19195849546044</v>
      </c>
      <c r="U25">
        <f>100*H25/D25</f>
        <v>9.3385214007782107</v>
      </c>
      <c r="V25">
        <f>100*I25/D25</f>
        <v>5.966277561608301</v>
      </c>
      <c r="W25">
        <f>100*J25/D25</f>
        <v>3.2425421530479897</v>
      </c>
      <c r="X25">
        <f>100*K25/D25</f>
        <v>1.556420233463035</v>
      </c>
      <c r="Y25">
        <f>100*L25/D25</f>
        <v>0.90791180285343709</v>
      </c>
      <c r="Z25">
        <f>100*M25/D25</f>
        <v>0.51880674448767838</v>
      </c>
      <c r="AA25">
        <f>100*N25/D25</f>
        <v>0.51880674448767838</v>
      </c>
      <c r="AB25">
        <f>100*O25/D25</f>
        <v>0.25940337224383919</v>
      </c>
      <c r="AC25">
        <f>100*P25/D25</f>
        <v>0.1297016861219196</v>
      </c>
      <c r="AD25">
        <f>100*Q25/D25</f>
        <v>0.1297016861219196</v>
      </c>
    </row>
    <row r="26" spans="1:30" x14ac:dyDescent="0.2">
      <c r="A26">
        <v>2025</v>
      </c>
      <c r="B26" s="6" t="s">
        <v>93</v>
      </c>
      <c r="C26" t="s">
        <v>98</v>
      </c>
      <c r="D26" s="9">
        <v>4375</v>
      </c>
      <c r="E26" s="9">
        <v>3860</v>
      </c>
      <c r="F26" s="9">
        <v>3365</v>
      </c>
      <c r="G26" s="9">
        <v>495</v>
      </c>
      <c r="H26" s="9">
        <v>435</v>
      </c>
      <c r="I26" s="9">
        <v>280</v>
      </c>
      <c r="J26" s="9">
        <v>160</v>
      </c>
      <c r="K26" s="9">
        <v>70</v>
      </c>
      <c r="L26" s="9">
        <v>55</v>
      </c>
      <c r="M26" s="9">
        <v>20</v>
      </c>
      <c r="N26" s="9">
        <v>5</v>
      </c>
      <c r="O26" s="9">
        <v>0</v>
      </c>
      <c r="P26" s="9">
        <v>0</v>
      </c>
      <c r="Q26" s="9">
        <v>5</v>
      </c>
      <c r="R26">
        <f>100*E26/D26</f>
        <v>88.228571428571428</v>
      </c>
      <c r="S26">
        <f>100*F26/D26</f>
        <v>76.914285714285711</v>
      </c>
      <c r="T26">
        <f>100*G26/D26</f>
        <v>11.314285714285715</v>
      </c>
      <c r="U26">
        <f>100*H26/D26</f>
        <v>9.9428571428571431</v>
      </c>
      <c r="V26">
        <f>100*I26/D26</f>
        <v>6.4</v>
      </c>
      <c r="W26">
        <f>100*J26/D26</f>
        <v>3.657142857142857</v>
      </c>
      <c r="X26">
        <f>100*K26/D26</f>
        <v>1.6</v>
      </c>
      <c r="Y26">
        <f>100*L26/D26</f>
        <v>1.2571428571428571</v>
      </c>
      <c r="Z26">
        <f>100*M26/D26</f>
        <v>0.45714285714285713</v>
      </c>
      <c r="AA26">
        <f>100*N26/D26</f>
        <v>0.11428571428571428</v>
      </c>
      <c r="AB26">
        <f>100*O26/D26</f>
        <v>0</v>
      </c>
      <c r="AC26">
        <f>100*P26/D26</f>
        <v>0</v>
      </c>
      <c r="AD26">
        <f>100*Q26/D26</f>
        <v>0.11428571428571428</v>
      </c>
    </row>
    <row r="27" spans="1:30" x14ac:dyDescent="0.2">
      <c r="A27">
        <v>2025</v>
      </c>
      <c r="B27" s="6" t="s">
        <v>94</v>
      </c>
      <c r="C27" t="s">
        <v>98</v>
      </c>
      <c r="D27" s="9">
        <v>5170</v>
      </c>
      <c r="E27" s="9">
        <v>4700</v>
      </c>
      <c r="F27" s="9">
        <v>4180</v>
      </c>
      <c r="G27" s="9">
        <v>520</v>
      </c>
      <c r="H27" s="9">
        <v>395</v>
      </c>
      <c r="I27" s="9">
        <v>245</v>
      </c>
      <c r="J27" s="9">
        <v>150</v>
      </c>
      <c r="K27" s="9">
        <v>65</v>
      </c>
      <c r="L27" s="9">
        <v>50</v>
      </c>
      <c r="M27" s="9">
        <v>15</v>
      </c>
      <c r="N27" s="9">
        <v>10</v>
      </c>
      <c r="O27" s="9">
        <v>10</v>
      </c>
      <c r="P27" s="9">
        <v>5</v>
      </c>
      <c r="Q27" s="9">
        <v>0</v>
      </c>
      <c r="R27">
        <f>100*E27/D27</f>
        <v>90.909090909090907</v>
      </c>
      <c r="S27">
        <f>100*F27/D27</f>
        <v>80.851063829787236</v>
      </c>
      <c r="T27">
        <f>100*G27/D27</f>
        <v>10.058027079303676</v>
      </c>
      <c r="U27">
        <f>100*H27/D27</f>
        <v>7.6402321083172149</v>
      </c>
      <c r="V27">
        <f>100*I27/D27</f>
        <v>4.7388781431334621</v>
      </c>
      <c r="W27">
        <f>100*J27/D27</f>
        <v>2.9013539651837523</v>
      </c>
      <c r="X27">
        <f>100*K27/D27</f>
        <v>1.2572533849129595</v>
      </c>
      <c r="Y27">
        <f>100*L27/D27</f>
        <v>0.96711798839458418</v>
      </c>
      <c r="Z27">
        <f>100*M27/D27</f>
        <v>0.29013539651837522</v>
      </c>
      <c r="AA27">
        <f>100*N27/D27</f>
        <v>0.19342359767891681</v>
      </c>
      <c r="AB27">
        <f>100*O27/D27</f>
        <v>0.19342359767891681</v>
      </c>
      <c r="AC27">
        <f>100*P27/D27</f>
        <v>9.6711798839458407E-2</v>
      </c>
      <c r="AD27">
        <f>100*Q27/D27</f>
        <v>0</v>
      </c>
    </row>
    <row r="28" spans="1:30" x14ac:dyDescent="0.2">
      <c r="A28">
        <v>2025</v>
      </c>
      <c r="B28" s="6" t="s">
        <v>95</v>
      </c>
      <c r="C28" t="s">
        <v>98</v>
      </c>
      <c r="D28" s="9">
        <v>3030</v>
      </c>
      <c r="E28" s="9">
        <v>2700</v>
      </c>
      <c r="F28" s="9">
        <v>2335</v>
      </c>
      <c r="G28" s="9">
        <v>370</v>
      </c>
      <c r="H28" s="9">
        <v>280</v>
      </c>
      <c r="I28" s="9">
        <v>175</v>
      </c>
      <c r="J28" s="9">
        <v>105</v>
      </c>
      <c r="K28" s="9">
        <v>45</v>
      </c>
      <c r="L28" s="9">
        <v>30</v>
      </c>
      <c r="M28" s="9">
        <v>15</v>
      </c>
      <c r="N28" s="9">
        <v>5</v>
      </c>
      <c r="O28" s="9">
        <v>0</v>
      </c>
      <c r="P28" s="9">
        <v>0</v>
      </c>
      <c r="Q28" s="9">
        <v>5</v>
      </c>
      <c r="R28">
        <f>100*E28/D28</f>
        <v>89.10891089108911</v>
      </c>
      <c r="S28">
        <f>100*F28/D28</f>
        <v>77.062706270627061</v>
      </c>
      <c r="T28">
        <f>100*G28/D28</f>
        <v>12.211221122112212</v>
      </c>
      <c r="U28">
        <f>100*H28/D28</f>
        <v>9.2409240924092408</v>
      </c>
      <c r="V28">
        <f>100*I28/D28</f>
        <v>5.775577557755776</v>
      </c>
      <c r="W28">
        <f>100*J28/D28</f>
        <v>3.4653465346534653</v>
      </c>
      <c r="X28">
        <f>100*K28/D28</f>
        <v>1.4851485148514851</v>
      </c>
      <c r="Y28">
        <f>100*L28/D28</f>
        <v>0.99009900990099009</v>
      </c>
      <c r="Z28">
        <f>100*M28/D28</f>
        <v>0.49504950495049505</v>
      </c>
      <c r="AA28">
        <f>100*N28/D28</f>
        <v>0.16501650165016502</v>
      </c>
      <c r="AB28">
        <f>100*O28/D28</f>
        <v>0</v>
      </c>
      <c r="AC28">
        <f>100*P28/D28</f>
        <v>0</v>
      </c>
      <c r="AD28">
        <f>100*Q28/D28</f>
        <v>0.16501650165016502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Ashby</dc:creator>
  <cp:lastModifiedBy>Ben Ashby</cp:lastModifiedBy>
  <dcterms:created xsi:type="dcterms:W3CDTF">2026-01-16T16:30:10Z</dcterms:created>
  <dcterms:modified xsi:type="dcterms:W3CDTF">2026-02-16T15:25:17Z</dcterms:modified>
</cp:coreProperties>
</file>