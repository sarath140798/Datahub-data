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Economy - Registered_Business_Counts\"/>
    </mc:Choice>
  </mc:AlternateContent>
  <xr:revisionPtr revIDLastSave="0" documentId="13_ncr:1_{8CD9D41E-8403-4129-BE7B-90921B15082A}" xr6:coauthVersionLast="47" xr6:coauthVersionMax="47" xr10:uidLastSave="{00000000-0000-0000-0000-000000000000}"/>
  <bookViews>
    <workbookView xWindow="-110" yWindow="-110" windowWidth="19420" windowHeight="11500" xr2:uid="{F3838E48-33B6-3E4D-ABD2-7FEC8AC3400F}"/>
  </bookViews>
  <sheets>
    <sheet name="Metadata" sheetId="2" r:id="rId1"/>
    <sheet name="Data" sheetId="3" r:id="rId2"/>
    <sheet name="Analysis" sheetId="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1" l="1"/>
  <c r="E3" i="1"/>
  <c r="E4" i="1"/>
  <c r="E5" i="1"/>
  <c r="E6" i="1"/>
  <c r="E7" i="1"/>
  <c r="E8" i="1"/>
  <c r="E9" i="1"/>
  <c r="E10" i="1"/>
  <c r="E11" i="1"/>
  <c r="E12" i="1"/>
  <c r="E25" i="1"/>
  <c r="E26" i="1"/>
  <c r="E27" i="1"/>
  <c r="E28" i="1"/>
  <c r="E29" i="1"/>
  <c r="E30" i="1"/>
  <c r="E31" i="1"/>
  <c r="E32" i="1"/>
  <c r="E33" i="1"/>
  <c r="E34" i="1"/>
  <c r="E24" i="1"/>
  <c r="E14" i="1"/>
  <c r="E15" i="1"/>
  <c r="E16" i="1"/>
  <c r="E17" i="1"/>
  <c r="E18" i="1"/>
  <c r="E19" i="1"/>
  <c r="E20" i="1"/>
  <c r="E21" i="1"/>
  <c r="E22" i="1"/>
  <c r="E23" i="1"/>
  <c r="E13" i="1"/>
</calcChain>
</file>

<file path=xl/sharedStrings.xml><?xml version="1.0" encoding="utf-8"?>
<sst xmlns="http://schemas.openxmlformats.org/spreadsheetml/2006/main" count="330" uniqueCount="59">
  <si>
    <t>date</t>
  </si>
  <si>
    <t>geography</t>
  </si>
  <si>
    <t>geography_type</t>
  </si>
  <si>
    <t>Brunel area</t>
  </si>
  <si>
    <t>RG</t>
  </si>
  <si>
    <t>England</t>
  </si>
  <si>
    <t>NAT</t>
  </si>
  <si>
    <t>England excl. London</t>
  </si>
  <si>
    <t>Publisher</t>
  </si>
  <si>
    <t>ONS dataset</t>
  </si>
  <si>
    <t>ONS tables</t>
  </si>
  <si>
    <t>ONS publication date</t>
  </si>
  <si>
    <t>Next ONS update</t>
  </si>
  <si>
    <t>ONS link</t>
  </si>
  <si>
    <t>Created date</t>
  </si>
  <si>
    <t>Last updated</t>
  </si>
  <si>
    <t>Geography used for analysis</t>
  </si>
  <si>
    <t xml:space="preserve">Aggregation method  </t>
  </si>
  <si>
    <t>Data information:</t>
  </si>
  <si>
    <t>Office for National Statistics (ONS)</t>
  </si>
  <si>
    <t>Autumn 26</t>
  </si>
  <si>
    <t>https://www.nomisweb.co.uk/datasets/idbrent</t>
  </si>
  <si>
    <t>Aggregated by NOMIS</t>
  </si>
  <si>
    <t>An extract compiled from the Inter Departmental Business Register (IDBR) recording the number of Enterprises that were live at a reference date in March, broken down by employment size band, detailed industry (5 digit SIC2007) and legal status. An Enterprise is the smallest combination of legal units which has a certain degree of autonomy within an Enterprise Group. Available from country down to mid layer super output area and Scottish intermediate zones.</t>
  </si>
  <si>
    <t>UK Business Counts - enterprises by industry and employment size band</t>
  </si>
  <si>
    <t>industry</t>
  </si>
  <si>
    <t>Total</t>
  </si>
  <si>
    <t>employment sizeband</t>
  </si>
  <si>
    <t>legal status</t>
  </si>
  <si>
    <t>Private sector total</t>
  </si>
  <si>
    <t>Date</t>
  </si>
  <si>
    <t>lacu2023:Bath and North East Somerset</t>
  </si>
  <si>
    <t>lacu2023:Bristol, City of</t>
  </si>
  <si>
    <t>lacu2023:Gloucestershire</t>
  </si>
  <si>
    <t>lacu2023:North Somerset</t>
  </si>
  <si>
    <t>lacu2023:South Gloucestershire</t>
  </si>
  <si>
    <t>lacu2023:Swindon</t>
  </si>
  <si>
    <t>lacu2023:Wiltshire</t>
  </si>
  <si>
    <t>User Defined Geography:England</t>
  </si>
  <si>
    <t>User Defined Geography:England_excluding_London</t>
  </si>
  <si>
    <t>User Defined Geography:UK</t>
  </si>
  <si>
    <t>User Defined Geography:UK_excluding_London</t>
  </si>
  <si>
    <t>All figures are rounded to avoid disclosure. Values may be rounded down to zero and so all zeros are not necessarily true zeros. Totals across tables may differ by minor amounts due to the disclosure methods used. Furthermore, figures may differ by small amounts from those published in ONS outputs due to the application of a different rounding methodology.</t>
  </si>
  <si>
    <t>Disclosure control methods were revised on 6th October 2015. Users may notice minor changes to some cell counts when comparing with data downloaded prior to this date.</t>
  </si>
  <si>
    <t>In 2015, ONS extended the coverage of businesses to include a population of solely PAYE based businesses that were previously excluded because of the risk of duplication. In total, in 2015, 105,000 businesses have been added.Improvements in matching of administrative data and research into those units excluded has indicated that the risk of duplication is very small. The addition of these businesses brings the publication in line with Business Demography and the BIS Business Population Estimates, both of which include these businesses. For more information, see http://www.nomisweb.co.uk/articles/news/files/UKBusinessCoverage.pdf.</t>
  </si>
  <si>
    <t>Partnership</t>
  </si>
  <si>
    <t>ONS Crown Copyright Reserved [from Nomis on 19 January 2026]</t>
  </si>
  <si>
    <t>User Defined Geography:The Greater west of England</t>
  </si>
  <si>
    <t>Company (including building society)</t>
  </si>
  <si>
    <t>Sole proprietor</t>
  </si>
  <si>
    <t>Non-profit body or mutual association</t>
  </si>
  <si>
    <t>Public sector total</t>
  </si>
  <si>
    <t>Public corporation</t>
  </si>
  <si>
    <t>Central government</t>
  </si>
  <si>
    <t>Local authority</t>
  </si>
  <si>
    <t>Private_sector_total</t>
  </si>
  <si>
    <t>Comparison of business counts to the total in 2015, with the 2015 total being a reference value of 100 for further values. Uses the same raw data as other business counts datasets.</t>
  </si>
  <si>
    <t>count_against_2015_reference</t>
  </si>
  <si>
    <t>The Greater West of England Area (Bristol, Bath &amp; North East Somerset, South Gloucestershire, Gloucestershire, North Somerset, Swindon, Wiltshire) and individual local authorities, England and United Kingdom (+excluding London)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</si>
</sst>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809]dd\ mmmm\ yyyy;@"/>
  </numFmts>
  <fonts count="8" x14ac:knownFonts="1">
    <font>
      <sz val="12"/>
      <color theme="1"/>
      <name val="Aptos Narrow"/>
      <family val="2"/>
      <scheme val="minor"/>
    </font>
    <font>
      <sz val="11"/>
      <color theme="1"/>
      <name val="Aptos Narrow"/>
      <family val="2"/>
      <scheme val="minor"/>
    </font>
    <font>
      <b/>
      <sz val="11"/>
      <color theme="1"/>
      <name val="Aptos Narrow"/>
      <family val="2"/>
      <scheme val="minor"/>
    </font>
    <font>
      <b/>
      <sz val="12"/>
      <name val="Arial"/>
      <family val="2"/>
    </font>
    <font>
      <sz val="10"/>
      <name val="Arial"/>
      <family val="2"/>
    </font>
    <font>
      <b/>
      <sz val="10"/>
      <name val="Arial"/>
      <family val="2"/>
    </font>
    <font>
      <u/>
      <sz val="12"/>
      <color theme="10"/>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14">
    <xf numFmtId="0" fontId="0" fillId="0" borderId="0" xfId="0"/>
    <xf numFmtId="0" fontId="2" fillId="0" borderId="0" xfId="0" applyFont="1" applyAlignment="1">
      <alignment horizontal="left" wrapText="1"/>
    </xf>
    <xf numFmtId="0" fontId="3" fillId="0" borderId="0" xfId="0" applyFont="1" applyAlignment="1">
      <alignment horizontal="left" vertical="center"/>
    </xf>
    <xf numFmtId="0" fontId="4" fillId="0" borderId="0" xfId="0" applyFont="1"/>
    <xf numFmtId="0" fontId="4" fillId="0" borderId="0" xfId="0" applyFont="1" applyAlignment="1">
      <alignment horizontal="left"/>
    </xf>
    <xf numFmtId="0" fontId="5" fillId="0" borderId="0" xfId="0" applyFont="1" applyAlignment="1">
      <alignment horizontal="left" vertical="center" wrapText="1"/>
    </xf>
    <xf numFmtId="0" fontId="5" fillId="0" borderId="0" xfId="0" applyFont="1" applyAlignment="1">
      <alignment horizontal="center" vertical="center" wrapText="1"/>
    </xf>
    <xf numFmtId="3" fontId="4" fillId="0" borderId="0" xfId="0" applyNumberFormat="1" applyFont="1" applyAlignment="1">
      <alignment horizontal="right"/>
    </xf>
    <xf numFmtId="0" fontId="1" fillId="0" borderId="0" xfId="0" applyFont="1"/>
    <xf numFmtId="0" fontId="1" fillId="0" borderId="0" xfId="0" applyFont="1" applyAlignment="1">
      <alignment wrapText="1"/>
    </xf>
    <xf numFmtId="164" fontId="1" fillId="0" borderId="0" xfId="0" applyNumberFormat="1" applyFont="1" applyAlignment="1">
      <alignment wrapText="1"/>
    </xf>
    <xf numFmtId="0" fontId="7" fillId="0" borderId="0" xfId="1" applyFont="1" applyAlignment="1">
      <alignment wrapText="1"/>
    </xf>
    <xf numFmtId="14" fontId="1" fillId="0" borderId="0" xfId="0" applyNumberFormat="1" applyFont="1" applyAlignment="1">
      <alignment wrapText="1"/>
    </xf>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datasets/idbre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4F89D-D895-144E-9321-FCBFF913ABF8}">
  <dimension ref="A1:B12"/>
  <sheetViews>
    <sheetView tabSelected="1" zoomScaleNormal="100" workbookViewId="0">
      <selection activeCell="B9" sqref="B9"/>
    </sheetView>
  </sheetViews>
  <sheetFormatPr defaultColWidth="10.6640625" defaultRowHeight="16" x14ac:dyDescent="0.4"/>
  <cols>
    <col min="1" max="1" width="19.5" customWidth="1"/>
    <col min="2" max="2" width="54.5" style="13" customWidth="1"/>
  </cols>
  <sheetData>
    <row r="1" spans="1:2" x14ac:dyDescent="0.4">
      <c r="A1" s="1" t="s">
        <v>8</v>
      </c>
      <c r="B1" s="9" t="s">
        <v>19</v>
      </c>
    </row>
    <row r="2" spans="1:2" x14ac:dyDescent="0.4">
      <c r="A2" s="1" t="s">
        <v>9</v>
      </c>
      <c r="B2" s="9" t="s">
        <v>24</v>
      </c>
    </row>
    <row r="3" spans="1:2" x14ac:dyDescent="0.4">
      <c r="A3" s="1" t="s">
        <v>10</v>
      </c>
      <c r="B3" s="9"/>
    </row>
    <row r="4" spans="1:2" x14ac:dyDescent="0.4">
      <c r="A4" s="1" t="s">
        <v>11</v>
      </c>
      <c r="B4" s="10">
        <v>45944</v>
      </c>
    </row>
    <row r="5" spans="1:2" x14ac:dyDescent="0.4">
      <c r="A5" s="1" t="s">
        <v>12</v>
      </c>
      <c r="B5" s="9" t="s">
        <v>20</v>
      </c>
    </row>
    <row r="6" spans="1:2" x14ac:dyDescent="0.4">
      <c r="A6" s="1" t="s">
        <v>13</v>
      </c>
      <c r="B6" s="11" t="s">
        <v>21</v>
      </c>
    </row>
    <row r="7" spans="1:2" x14ac:dyDescent="0.4">
      <c r="A7" s="1" t="s">
        <v>14</v>
      </c>
      <c r="B7" s="12">
        <v>46042</v>
      </c>
    </row>
    <row r="8" spans="1:2" x14ac:dyDescent="0.4">
      <c r="A8" s="1" t="s">
        <v>15</v>
      </c>
      <c r="B8" s="12">
        <v>46042</v>
      </c>
    </row>
    <row r="9" spans="1:2" ht="58.5" x14ac:dyDescent="0.4">
      <c r="A9" s="1" t="s">
        <v>16</v>
      </c>
      <c r="B9" s="9" t="s">
        <v>58</v>
      </c>
    </row>
    <row r="10" spans="1:2" x14ac:dyDescent="0.4">
      <c r="A10" s="1" t="s">
        <v>17</v>
      </c>
      <c r="B10" s="9" t="s">
        <v>22</v>
      </c>
    </row>
    <row r="11" spans="1:2" ht="102" x14ac:dyDescent="0.4">
      <c r="A11" s="1" t="s">
        <v>18</v>
      </c>
      <c r="B11" s="9" t="s">
        <v>23</v>
      </c>
    </row>
    <row r="12" spans="1:2" ht="44" x14ac:dyDescent="0.4">
      <c r="A12" s="8"/>
      <c r="B12" s="9" t="s">
        <v>56</v>
      </c>
    </row>
  </sheetData>
  <hyperlinks>
    <hyperlink ref="B6" r:id="rId1" xr:uid="{794BDF6B-C7B9-DF4F-B1F5-2519227EFD6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31F01-CF34-B04B-8F44-AFC33149FAE8}">
  <dimension ref="A1:M418"/>
  <sheetViews>
    <sheetView topLeftCell="A28" zoomScaleNormal="100" workbookViewId="0">
      <selection activeCell="I54" sqref="I54"/>
    </sheetView>
  </sheetViews>
  <sheetFormatPr defaultColWidth="10.6640625" defaultRowHeight="16" x14ac:dyDescent="0.4"/>
  <sheetData>
    <row r="1" spans="1:13" x14ac:dyDescent="0.4">
      <c r="A1" s="2" t="s">
        <v>24</v>
      </c>
    </row>
    <row r="2" spans="1:13" x14ac:dyDescent="0.4">
      <c r="A2" s="3" t="s">
        <v>46</v>
      </c>
    </row>
    <row r="4" spans="1:13" x14ac:dyDescent="0.4">
      <c r="A4" s="4" t="s">
        <v>25</v>
      </c>
      <c r="B4" s="4" t="s">
        <v>26</v>
      </c>
    </row>
    <row r="5" spans="1:13" x14ac:dyDescent="0.4">
      <c r="A5" s="4" t="s">
        <v>27</v>
      </c>
      <c r="B5" s="4" t="s">
        <v>26</v>
      </c>
    </row>
    <row r="6" spans="1:13" x14ac:dyDescent="0.4">
      <c r="A6" s="4" t="s">
        <v>28</v>
      </c>
      <c r="B6" s="4" t="s">
        <v>26</v>
      </c>
    </row>
    <row r="8" spans="1:13" ht="78" x14ac:dyDescent="0.4">
      <c r="A8" s="5" t="s">
        <v>30</v>
      </c>
      <c r="B8" s="6" t="s">
        <v>31</v>
      </c>
      <c r="C8" s="6" t="s">
        <v>32</v>
      </c>
      <c r="D8" s="6" t="s">
        <v>33</v>
      </c>
      <c r="E8" s="6" t="s">
        <v>34</v>
      </c>
      <c r="F8" s="6" t="s">
        <v>35</v>
      </c>
      <c r="G8" s="6" t="s">
        <v>36</v>
      </c>
      <c r="H8" s="6" t="s">
        <v>37</v>
      </c>
      <c r="I8" s="6" t="s">
        <v>47</v>
      </c>
      <c r="J8" s="6" t="s">
        <v>38</v>
      </c>
      <c r="K8" s="6" t="s">
        <v>39</v>
      </c>
      <c r="L8" s="6" t="s">
        <v>40</v>
      </c>
      <c r="M8" s="6" t="s">
        <v>41</v>
      </c>
    </row>
    <row r="9" spans="1:13" x14ac:dyDescent="0.4">
      <c r="A9" s="4">
        <v>2010</v>
      </c>
      <c r="B9" s="7">
        <v>7065</v>
      </c>
      <c r="C9" s="7">
        <v>13165</v>
      </c>
      <c r="D9" s="7">
        <v>24675</v>
      </c>
      <c r="E9" s="7">
        <v>7050</v>
      </c>
      <c r="F9" s="7">
        <v>8130</v>
      </c>
      <c r="G9" s="7">
        <v>5230</v>
      </c>
      <c r="H9" s="7">
        <v>19140</v>
      </c>
      <c r="I9" s="7">
        <v>84460</v>
      </c>
      <c r="J9" s="7">
        <v>1797910</v>
      </c>
      <c r="K9" s="7">
        <v>1466370</v>
      </c>
      <c r="L9" s="7">
        <v>2100370</v>
      </c>
      <c r="M9" s="7">
        <v>1768830</v>
      </c>
    </row>
    <row r="10" spans="1:13" x14ac:dyDescent="0.4">
      <c r="A10" s="4">
        <v>2011</v>
      </c>
      <c r="B10" s="7">
        <v>7040</v>
      </c>
      <c r="C10" s="7">
        <v>13145</v>
      </c>
      <c r="D10" s="7">
        <v>24585</v>
      </c>
      <c r="E10" s="7">
        <v>7000</v>
      </c>
      <c r="F10" s="7">
        <v>8100</v>
      </c>
      <c r="G10" s="7">
        <v>5245</v>
      </c>
      <c r="H10" s="7">
        <v>19110</v>
      </c>
      <c r="I10" s="7">
        <v>84225</v>
      </c>
      <c r="J10" s="7">
        <v>1780825</v>
      </c>
      <c r="K10" s="7">
        <v>1446425</v>
      </c>
      <c r="L10" s="7">
        <v>2080860</v>
      </c>
      <c r="M10" s="7">
        <v>1746460</v>
      </c>
    </row>
    <row r="11" spans="1:13" x14ac:dyDescent="0.4">
      <c r="A11" s="4">
        <v>2012</v>
      </c>
      <c r="B11" s="7">
        <v>7195</v>
      </c>
      <c r="C11" s="7">
        <v>13870</v>
      </c>
      <c r="D11" s="7">
        <v>25200</v>
      </c>
      <c r="E11" s="7">
        <v>7245</v>
      </c>
      <c r="F11" s="7">
        <v>8315</v>
      </c>
      <c r="G11" s="7">
        <v>5525</v>
      </c>
      <c r="H11" s="7">
        <v>19610</v>
      </c>
      <c r="I11" s="7">
        <v>86965</v>
      </c>
      <c r="J11" s="7">
        <v>1842665</v>
      </c>
      <c r="K11" s="7">
        <v>1482785</v>
      </c>
      <c r="L11" s="7">
        <v>2149185</v>
      </c>
      <c r="M11" s="7">
        <v>1789305</v>
      </c>
    </row>
    <row r="12" spans="1:13" x14ac:dyDescent="0.4">
      <c r="A12" s="4">
        <v>2013</v>
      </c>
      <c r="B12" s="7">
        <v>7150</v>
      </c>
      <c r="C12" s="7">
        <v>14195</v>
      </c>
      <c r="D12" s="7">
        <v>25270</v>
      </c>
      <c r="E12" s="7">
        <v>7320</v>
      </c>
      <c r="F12" s="7">
        <v>8385</v>
      </c>
      <c r="G12" s="7">
        <v>5665</v>
      </c>
      <c r="H12" s="7">
        <v>19740</v>
      </c>
      <c r="I12" s="7">
        <v>87725</v>
      </c>
      <c r="J12" s="7">
        <v>1862100</v>
      </c>
      <c r="K12" s="7">
        <v>1489725</v>
      </c>
      <c r="L12" s="7">
        <v>2167580</v>
      </c>
      <c r="M12" s="7">
        <v>1795200</v>
      </c>
    </row>
    <row r="13" spans="1:13" x14ac:dyDescent="0.4">
      <c r="A13" s="4">
        <v>2014</v>
      </c>
      <c r="B13" s="7">
        <v>7380</v>
      </c>
      <c r="C13" s="7">
        <v>15020</v>
      </c>
      <c r="D13" s="7">
        <v>25955</v>
      </c>
      <c r="E13" s="7">
        <v>7670</v>
      </c>
      <c r="F13" s="7">
        <v>8805</v>
      </c>
      <c r="G13" s="7">
        <v>6055</v>
      </c>
      <c r="H13" s="7">
        <v>20350</v>
      </c>
      <c r="I13" s="7">
        <v>91240</v>
      </c>
      <c r="J13" s="7">
        <v>1950030</v>
      </c>
      <c r="K13" s="7">
        <v>1549100</v>
      </c>
      <c r="L13" s="7">
        <v>2263645</v>
      </c>
      <c r="M13" s="7">
        <v>1862720</v>
      </c>
    </row>
    <row r="14" spans="1:13" x14ac:dyDescent="0.4">
      <c r="A14" s="4">
        <v>2015</v>
      </c>
      <c r="B14" s="7">
        <v>7825</v>
      </c>
      <c r="C14" s="7">
        <v>16635</v>
      </c>
      <c r="D14" s="7">
        <v>27540</v>
      </c>
      <c r="E14" s="7">
        <v>8355</v>
      </c>
      <c r="F14" s="7">
        <v>9400</v>
      </c>
      <c r="G14" s="7">
        <v>6590</v>
      </c>
      <c r="H14" s="7">
        <v>21585</v>
      </c>
      <c r="I14" s="7">
        <v>97925</v>
      </c>
      <c r="J14" s="7">
        <v>2116295</v>
      </c>
      <c r="K14" s="7">
        <v>1671415</v>
      </c>
      <c r="L14" s="7">
        <v>2449415</v>
      </c>
      <c r="M14" s="7">
        <v>2004535</v>
      </c>
    </row>
    <row r="15" spans="1:13" x14ac:dyDescent="0.4">
      <c r="A15" s="4">
        <v>2016</v>
      </c>
      <c r="B15" s="7">
        <v>8065</v>
      </c>
      <c r="C15" s="7">
        <v>17390</v>
      </c>
      <c r="D15" s="7">
        <v>28295</v>
      </c>
      <c r="E15" s="7">
        <v>8595</v>
      </c>
      <c r="F15" s="7">
        <v>9770</v>
      </c>
      <c r="G15" s="7">
        <v>6985</v>
      </c>
      <c r="H15" s="7">
        <v>22200</v>
      </c>
      <c r="I15" s="7">
        <v>101295</v>
      </c>
      <c r="J15" s="7">
        <v>2213650</v>
      </c>
      <c r="K15" s="7">
        <v>1736760</v>
      </c>
      <c r="L15" s="7">
        <v>2554510</v>
      </c>
      <c r="M15" s="7">
        <v>2077620</v>
      </c>
    </row>
    <row r="16" spans="1:13" x14ac:dyDescent="0.4">
      <c r="A16" s="4">
        <v>2017</v>
      </c>
      <c r="B16" s="7">
        <v>8210</v>
      </c>
      <c r="C16" s="7">
        <v>18060</v>
      </c>
      <c r="D16" s="7">
        <v>28880</v>
      </c>
      <c r="E16" s="7">
        <v>8790</v>
      </c>
      <c r="F16" s="7">
        <v>10140</v>
      </c>
      <c r="G16" s="7">
        <v>7395</v>
      </c>
      <c r="H16" s="7">
        <v>25620</v>
      </c>
      <c r="I16" s="7">
        <v>107085</v>
      </c>
      <c r="J16" s="7">
        <v>2320885</v>
      </c>
      <c r="K16" s="7">
        <v>1815225</v>
      </c>
      <c r="L16" s="7">
        <v>2668810</v>
      </c>
      <c r="M16" s="7">
        <v>2163155</v>
      </c>
    </row>
    <row r="17" spans="1:13" x14ac:dyDescent="0.4">
      <c r="A17" s="4">
        <v>2018</v>
      </c>
      <c r="B17" s="7">
        <v>8240</v>
      </c>
      <c r="C17" s="7">
        <v>18005</v>
      </c>
      <c r="D17" s="7">
        <v>29235</v>
      </c>
      <c r="E17" s="7">
        <v>8655</v>
      </c>
      <c r="F17" s="7">
        <v>10105</v>
      </c>
      <c r="G17" s="7">
        <v>7395</v>
      </c>
      <c r="H17" s="7">
        <v>22520</v>
      </c>
      <c r="I17" s="7">
        <v>104155</v>
      </c>
      <c r="J17" s="7">
        <v>2318060</v>
      </c>
      <c r="K17" s="7">
        <v>1811880</v>
      </c>
      <c r="L17" s="7">
        <v>2669440</v>
      </c>
      <c r="M17" s="7">
        <v>2163265</v>
      </c>
    </row>
    <row r="18" spans="1:13" x14ac:dyDescent="0.4">
      <c r="A18" s="4">
        <v>2019</v>
      </c>
      <c r="B18" s="7">
        <v>8440</v>
      </c>
      <c r="C18" s="7">
        <v>18335</v>
      </c>
      <c r="D18" s="7">
        <v>29630</v>
      </c>
      <c r="E18" s="7">
        <v>8755</v>
      </c>
      <c r="F18" s="7">
        <v>10155</v>
      </c>
      <c r="G18" s="7">
        <v>7520</v>
      </c>
      <c r="H18" s="7">
        <v>22405</v>
      </c>
      <c r="I18" s="7">
        <v>105240</v>
      </c>
      <c r="J18" s="7">
        <v>2360780</v>
      </c>
      <c r="K18" s="7">
        <v>1838540</v>
      </c>
      <c r="L18" s="7">
        <v>2718435</v>
      </c>
      <c r="M18" s="7">
        <v>2196195</v>
      </c>
    </row>
    <row r="19" spans="1:13" x14ac:dyDescent="0.4">
      <c r="A19" s="4">
        <v>2020</v>
      </c>
      <c r="B19" s="7">
        <v>8495</v>
      </c>
      <c r="C19" s="7">
        <v>18615</v>
      </c>
      <c r="D19" s="7">
        <v>29885</v>
      </c>
      <c r="E19" s="7">
        <v>8820</v>
      </c>
      <c r="F19" s="7">
        <v>10340</v>
      </c>
      <c r="G19" s="7">
        <v>7550</v>
      </c>
      <c r="H19" s="7">
        <v>22205</v>
      </c>
      <c r="I19" s="7">
        <v>105905</v>
      </c>
      <c r="J19" s="7">
        <v>2390970</v>
      </c>
      <c r="K19" s="7">
        <v>1859670</v>
      </c>
      <c r="L19" s="7">
        <v>2749700</v>
      </c>
      <c r="M19" s="7">
        <v>2218400</v>
      </c>
    </row>
    <row r="20" spans="1:13" x14ac:dyDescent="0.4">
      <c r="A20" s="4">
        <v>2021</v>
      </c>
      <c r="B20" s="7">
        <v>8635</v>
      </c>
      <c r="C20" s="7">
        <v>18725</v>
      </c>
      <c r="D20" s="7">
        <v>29735</v>
      </c>
      <c r="E20" s="7">
        <v>8940</v>
      </c>
      <c r="F20" s="7">
        <v>10355</v>
      </c>
      <c r="G20" s="7">
        <v>7475</v>
      </c>
      <c r="H20" s="7">
        <v>21870</v>
      </c>
      <c r="I20" s="7">
        <v>105740</v>
      </c>
      <c r="J20" s="7">
        <v>2405965</v>
      </c>
      <c r="K20" s="7">
        <v>1871375</v>
      </c>
      <c r="L20" s="7">
        <v>2765150</v>
      </c>
      <c r="M20" s="7">
        <v>2230560</v>
      </c>
    </row>
    <row r="21" spans="1:13" x14ac:dyDescent="0.4">
      <c r="A21" s="4">
        <v>2022</v>
      </c>
      <c r="B21" s="7">
        <v>8535</v>
      </c>
      <c r="C21" s="7">
        <v>18485</v>
      </c>
      <c r="D21" s="7">
        <v>29405</v>
      </c>
      <c r="E21" s="7">
        <v>8955</v>
      </c>
      <c r="F21" s="7">
        <v>10290</v>
      </c>
      <c r="G21" s="7">
        <v>7390</v>
      </c>
      <c r="H21" s="7">
        <v>21805</v>
      </c>
      <c r="I21" s="7">
        <v>104865</v>
      </c>
      <c r="J21" s="7">
        <v>2408040</v>
      </c>
      <c r="K21" s="7">
        <v>1871975</v>
      </c>
      <c r="L21" s="7">
        <v>2767700</v>
      </c>
      <c r="M21" s="7">
        <v>2231635</v>
      </c>
    </row>
    <row r="22" spans="1:13" x14ac:dyDescent="0.4">
      <c r="A22" s="4">
        <v>2023</v>
      </c>
      <c r="B22" s="7">
        <v>8380</v>
      </c>
      <c r="C22" s="7">
        <v>18395</v>
      </c>
      <c r="D22" s="7">
        <v>28900</v>
      </c>
      <c r="E22" s="7">
        <v>9035</v>
      </c>
      <c r="F22" s="7">
        <v>10135</v>
      </c>
      <c r="G22" s="7">
        <v>7100</v>
      </c>
      <c r="H22" s="7">
        <v>21560</v>
      </c>
      <c r="I22" s="7">
        <v>103505</v>
      </c>
      <c r="J22" s="7">
        <v>2370125</v>
      </c>
      <c r="K22" s="7">
        <v>1844275</v>
      </c>
      <c r="L22" s="7">
        <v>2726830</v>
      </c>
      <c r="M22" s="7">
        <v>2200975</v>
      </c>
    </row>
    <row r="23" spans="1:13" x14ac:dyDescent="0.4">
      <c r="A23" s="4">
        <v>2024</v>
      </c>
      <c r="B23" s="7">
        <v>8480</v>
      </c>
      <c r="C23" s="7">
        <v>18330</v>
      </c>
      <c r="D23" s="7">
        <v>28860</v>
      </c>
      <c r="E23" s="7">
        <v>8950</v>
      </c>
      <c r="F23" s="7">
        <v>10150</v>
      </c>
      <c r="G23" s="7">
        <v>7035</v>
      </c>
      <c r="H23" s="7">
        <v>21520</v>
      </c>
      <c r="I23" s="7">
        <v>103325</v>
      </c>
      <c r="J23" s="7">
        <v>2368350</v>
      </c>
      <c r="K23" s="7">
        <v>1837535</v>
      </c>
      <c r="L23" s="7">
        <v>2724770</v>
      </c>
      <c r="M23" s="7">
        <v>2193955</v>
      </c>
    </row>
    <row r="24" spans="1:13" x14ac:dyDescent="0.4">
      <c r="A24" s="4">
        <v>2025</v>
      </c>
      <c r="B24" s="7">
        <v>8345</v>
      </c>
      <c r="C24" s="7">
        <v>18005</v>
      </c>
      <c r="D24" s="7">
        <v>28935</v>
      </c>
      <c r="E24" s="7">
        <v>8620</v>
      </c>
      <c r="F24" s="7">
        <v>10285</v>
      </c>
      <c r="G24" s="7">
        <v>7075</v>
      </c>
      <c r="H24" s="7">
        <v>21360</v>
      </c>
      <c r="I24" s="7">
        <v>102625</v>
      </c>
      <c r="J24" s="7">
        <v>2376615</v>
      </c>
      <c r="K24" s="7">
        <v>1838300</v>
      </c>
      <c r="L24" s="7">
        <v>2734615</v>
      </c>
      <c r="M24" s="7">
        <v>2196295</v>
      </c>
    </row>
    <row r="26" spans="1:13" x14ac:dyDescent="0.4">
      <c r="A26" s="3" t="s">
        <v>42</v>
      </c>
    </row>
    <row r="27" spans="1:13" x14ac:dyDescent="0.4">
      <c r="A27" s="3" t="s">
        <v>43</v>
      </c>
    </row>
    <row r="28" spans="1:13" x14ac:dyDescent="0.4">
      <c r="A28" s="3" t="s">
        <v>44</v>
      </c>
    </row>
    <row r="31" spans="1:13" x14ac:dyDescent="0.4">
      <c r="A31" s="2" t="s">
        <v>24</v>
      </c>
    </row>
    <row r="32" spans="1:13" x14ac:dyDescent="0.4">
      <c r="A32" s="3" t="s">
        <v>46</v>
      </c>
    </row>
    <row r="34" spans="1:13" x14ac:dyDescent="0.4">
      <c r="A34" s="4" t="s">
        <v>25</v>
      </c>
      <c r="B34" s="4" t="s">
        <v>26</v>
      </c>
    </row>
    <row r="35" spans="1:13" x14ac:dyDescent="0.4">
      <c r="A35" s="4" t="s">
        <v>27</v>
      </c>
      <c r="B35" s="4" t="s">
        <v>26</v>
      </c>
    </row>
    <row r="36" spans="1:13" x14ac:dyDescent="0.4">
      <c r="A36" s="4" t="s">
        <v>28</v>
      </c>
      <c r="B36" s="4" t="s">
        <v>29</v>
      </c>
    </row>
    <row r="38" spans="1:13" ht="78" x14ac:dyDescent="0.4">
      <c r="A38" s="5" t="s">
        <v>30</v>
      </c>
      <c r="B38" s="6" t="s">
        <v>31</v>
      </c>
      <c r="C38" s="6" t="s">
        <v>32</v>
      </c>
      <c r="D38" s="6" t="s">
        <v>33</v>
      </c>
      <c r="E38" s="6" t="s">
        <v>34</v>
      </c>
      <c r="F38" s="6" t="s">
        <v>35</v>
      </c>
      <c r="G38" s="6" t="s">
        <v>36</v>
      </c>
      <c r="H38" s="6" t="s">
        <v>37</v>
      </c>
      <c r="I38" s="6" t="s">
        <v>47</v>
      </c>
      <c r="J38" s="6" t="s">
        <v>38</v>
      </c>
      <c r="K38" s="6" t="s">
        <v>39</v>
      </c>
      <c r="L38" s="6" t="s">
        <v>40</v>
      </c>
      <c r="M38" s="6" t="s">
        <v>41</v>
      </c>
    </row>
    <row r="39" spans="1:13" x14ac:dyDescent="0.4">
      <c r="A39" s="4">
        <v>2010</v>
      </c>
      <c r="B39" s="7">
        <v>7035</v>
      </c>
      <c r="C39" s="7">
        <v>13155</v>
      </c>
      <c r="D39" s="7">
        <v>24585</v>
      </c>
      <c r="E39" s="7">
        <v>7030</v>
      </c>
      <c r="F39" s="7">
        <v>8100</v>
      </c>
      <c r="G39" s="7">
        <v>5190</v>
      </c>
      <c r="H39" s="7">
        <v>19085</v>
      </c>
      <c r="I39" s="7">
        <v>84180</v>
      </c>
      <c r="J39" s="7">
        <v>1793350</v>
      </c>
      <c r="K39" s="7">
        <v>1462400</v>
      </c>
      <c r="L39" s="7">
        <v>2095110</v>
      </c>
      <c r="M39" s="7">
        <v>1764160</v>
      </c>
    </row>
    <row r="40" spans="1:13" x14ac:dyDescent="0.4">
      <c r="A40" s="4">
        <v>2011</v>
      </c>
      <c r="B40" s="7">
        <v>7005</v>
      </c>
      <c r="C40" s="7">
        <v>13130</v>
      </c>
      <c r="D40" s="7">
        <v>24465</v>
      </c>
      <c r="E40" s="7">
        <v>6975</v>
      </c>
      <c r="F40" s="7">
        <v>8070</v>
      </c>
      <c r="G40" s="7">
        <v>5205</v>
      </c>
      <c r="H40" s="7">
        <v>19050</v>
      </c>
      <c r="I40" s="7">
        <v>83905</v>
      </c>
      <c r="J40" s="7">
        <v>1775515</v>
      </c>
      <c r="K40" s="7">
        <v>1441865</v>
      </c>
      <c r="L40" s="7">
        <v>2074790</v>
      </c>
      <c r="M40" s="7">
        <v>1741140</v>
      </c>
    </row>
    <row r="41" spans="1:13" x14ac:dyDescent="0.4">
      <c r="A41" s="4">
        <v>2012</v>
      </c>
      <c r="B41" s="7">
        <v>7155</v>
      </c>
      <c r="C41" s="7">
        <v>13850</v>
      </c>
      <c r="D41" s="7">
        <v>25025</v>
      </c>
      <c r="E41" s="7">
        <v>7220</v>
      </c>
      <c r="F41" s="7">
        <v>8280</v>
      </c>
      <c r="G41" s="7">
        <v>5455</v>
      </c>
      <c r="H41" s="7">
        <v>19495</v>
      </c>
      <c r="I41" s="7">
        <v>86475</v>
      </c>
      <c r="J41" s="7">
        <v>1835190</v>
      </c>
      <c r="K41" s="7">
        <v>1476145</v>
      </c>
      <c r="L41" s="7">
        <v>2140905</v>
      </c>
      <c r="M41" s="7">
        <v>1781855</v>
      </c>
    </row>
    <row r="42" spans="1:13" x14ac:dyDescent="0.4">
      <c r="A42" s="4">
        <v>2013</v>
      </c>
      <c r="B42" s="7">
        <v>7105</v>
      </c>
      <c r="C42" s="7">
        <v>14160</v>
      </c>
      <c r="D42" s="7">
        <v>25055</v>
      </c>
      <c r="E42" s="7">
        <v>7280</v>
      </c>
      <c r="F42" s="7">
        <v>8350</v>
      </c>
      <c r="G42" s="7">
        <v>5595</v>
      </c>
      <c r="H42" s="7">
        <v>19595</v>
      </c>
      <c r="I42" s="7">
        <v>87140</v>
      </c>
      <c r="J42" s="7">
        <v>1853185</v>
      </c>
      <c r="K42" s="7">
        <v>1481705</v>
      </c>
      <c r="L42" s="7">
        <v>2157830</v>
      </c>
      <c r="M42" s="7">
        <v>1786350</v>
      </c>
    </row>
    <row r="43" spans="1:13" x14ac:dyDescent="0.4">
      <c r="A43" s="4">
        <v>2014</v>
      </c>
      <c r="B43" s="7">
        <v>7330</v>
      </c>
      <c r="C43" s="7">
        <v>14970</v>
      </c>
      <c r="D43" s="7">
        <v>25740</v>
      </c>
      <c r="E43" s="7">
        <v>7630</v>
      </c>
      <c r="F43" s="7">
        <v>8765</v>
      </c>
      <c r="G43" s="7">
        <v>5985</v>
      </c>
      <c r="H43" s="7">
        <v>20185</v>
      </c>
      <c r="I43" s="7">
        <v>90605</v>
      </c>
      <c r="J43" s="7">
        <v>1940020</v>
      </c>
      <c r="K43" s="7">
        <v>1540050</v>
      </c>
      <c r="L43" s="7">
        <v>2252775</v>
      </c>
      <c r="M43" s="7">
        <v>1852805</v>
      </c>
    </row>
    <row r="44" spans="1:13" x14ac:dyDescent="0.4">
      <c r="A44" s="4">
        <v>2015</v>
      </c>
      <c r="B44" s="7">
        <v>7770</v>
      </c>
      <c r="C44" s="7">
        <v>16585</v>
      </c>
      <c r="D44" s="7">
        <v>27295</v>
      </c>
      <c r="E44" s="7">
        <v>8315</v>
      </c>
      <c r="F44" s="7">
        <v>9350</v>
      </c>
      <c r="G44" s="7">
        <v>6520</v>
      </c>
      <c r="H44" s="7">
        <v>21395</v>
      </c>
      <c r="I44" s="7">
        <v>97230</v>
      </c>
      <c r="J44" s="7">
        <v>2105210</v>
      </c>
      <c r="K44" s="7">
        <v>1661315</v>
      </c>
      <c r="L44" s="7">
        <v>2437425</v>
      </c>
      <c r="M44" s="7">
        <v>1993530</v>
      </c>
    </row>
    <row r="45" spans="1:13" x14ac:dyDescent="0.4">
      <c r="A45" s="4">
        <v>2016</v>
      </c>
      <c r="B45" s="7">
        <v>8010</v>
      </c>
      <c r="C45" s="7">
        <v>17340</v>
      </c>
      <c r="D45" s="7">
        <v>28055</v>
      </c>
      <c r="E45" s="7">
        <v>8550</v>
      </c>
      <c r="F45" s="7">
        <v>9725</v>
      </c>
      <c r="G45" s="7">
        <v>6910</v>
      </c>
      <c r="H45" s="7">
        <v>22010</v>
      </c>
      <c r="I45" s="7">
        <v>100595</v>
      </c>
      <c r="J45" s="7">
        <v>2202265</v>
      </c>
      <c r="K45" s="7">
        <v>1726355</v>
      </c>
      <c r="L45" s="7">
        <v>2542235</v>
      </c>
      <c r="M45" s="7">
        <v>2066330</v>
      </c>
    </row>
    <row r="46" spans="1:13" x14ac:dyDescent="0.4">
      <c r="A46" s="4">
        <v>2017</v>
      </c>
      <c r="B46" s="7">
        <v>8155</v>
      </c>
      <c r="C46" s="7">
        <v>18015</v>
      </c>
      <c r="D46" s="7">
        <v>28625</v>
      </c>
      <c r="E46" s="7">
        <v>8745</v>
      </c>
      <c r="F46" s="7">
        <v>10090</v>
      </c>
      <c r="G46" s="7">
        <v>7320</v>
      </c>
      <c r="H46" s="7">
        <v>25420</v>
      </c>
      <c r="I46" s="7">
        <v>106370</v>
      </c>
      <c r="J46" s="7">
        <v>2309250</v>
      </c>
      <c r="K46" s="7">
        <v>1804590</v>
      </c>
      <c r="L46" s="7">
        <v>2656280</v>
      </c>
      <c r="M46" s="7">
        <v>2151620</v>
      </c>
    </row>
    <row r="47" spans="1:13" x14ac:dyDescent="0.4">
      <c r="A47" s="4">
        <v>2018</v>
      </c>
      <c r="B47" s="7">
        <v>8190</v>
      </c>
      <c r="C47" s="7">
        <v>17960</v>
      </c>
      <c r="D47" s="7">
        <v>28985</v>
      </c>
      <c r="E47" s="7">
        <v>8605</v>
      </c>
      <c r="F47" s="7">
        <v>10060</v>
      </c>
      <c r="G47" s="7">
        <v>7320</v>
      </c>
      <c r="H47" s="7">
        <v>22325</v>
      </c>
      <c r="I47" s="7">
        <v>103445</v>
      </c>
      <c r="J47" s="7">
        <v>2306370</v>
      </c>
      <c r="K47" s="7">
        <v>1801265</v>
      </c>
      <c r="L47" s="7">
        <v>2656690</v>
      </c>
      <c r="M47" s="7">
        <v>2151585</v>
      </c>
    </row>
    <row r="48" spans="1:13" x14ac:dyDescent="0.4">
      <c r="A48" s="4">
        <v>2019</v>
      </c>
      <c r="B48" s="7">
        <v>8390</v>
      </c>
      <c r="C48" s="7">
        <v>18290</v>
      </c>
      <c r="D48" s="7">
        <v>29385</v>
      </c>
      <c r="E48" s="7">
        <v>8705</v>
      </c>
      <c r="F48" s="7">
        <v>10110</v>
      </c>
      <c r="G48" s="7">
        <v>7445</v>
      </c>
      <c r="H48" s="7">
        <v>22205</v>
      </c>
      <c r="I48" s="7">
        <v>104530</v>
      </c>
      <c r="J48" s="7">
        <v>2349140</v>
      </c>
      <c r="K48" s="7">
        <v>1827940</v>
      </c>
      <c r="L48" s="7">
        <v>2705680</v>
      </c>
      <c r="M48" s="7">
        <v>2184475</v>
      </c>
    </row>
    <row r="49" spans="1:13" x14ac:dyDescent="0.4">
      <c r="A49" s="4">
        <v>2020</v>
      </c>
      <c r="B49" s="7">
        <v>8445</v>
      </c>
      <c r="C49" s="7">
        <v>18570</v>
      </c>
      <c r="D49" s="7">
        <v>29635</v>
      </c>
      <c r="E49" s="7">
        <v>8770</v>
      </c>
      <c r="F49" s="7">
        <v>10285</v>
      </c>
      <c r="G49" s="7">
        <v>7480</v>
      </c>
      <c r="H49" s="7">
        <v>22005</v>
      </c>
      <c r="I49" s="7">
        <v>105195</v>
      </c>
      <c r="J49" s="7">
        <v>2379400</v>
      </c>
      <c r="K49" s="7">
        <v>1849140</v>
      </c>
      <c r="L49" s="7">
        <v>2736995</v>
      </c>
      <c r="M49" s="7">
        <v>2206735</v>
      </c>
    </row>
    <row r="50" spans="1:13" x14ac:dyDescent="0.4">
      <c r="A50" s="4">
        <v>2021</v>
      </c>
      <c r="B50" s="7">
        <v>8585</v>
      </c>
      <c r="C50" s="7">
        <v>18685</v>
      </c>
      <c r="D50" s="7">
        <v>29490</v>
      </c>
      <c r="E50" s="7">
        <v>8895</v>
      </c>
      <c r="F50" s="7">
        <v>10300</v>
      </c>
      <c r="G50" s="7">
        <v>7415</v>
      </c>
      <c r="H50" s="7">
        <v>21685</v>
      </c>
      <c r="I50" s="7">
        <v>105050</v>
      </c>
      <c r="J50" s="7">
        <v>2394570</v>
      </c>
      <c r="K50" s="7">
        <v>1861005</v>
      </c>
      <c r="L50" s="7">
        <v>2752630</v>
      </c>
      <c r="M50" s="7">
        <v>2219065</v>
      </c>
    </row>
    <row r="51" spans="1:13" x14ac:dyDescent="0.4">
      <c r="A51" s="4">
        <v>2022</v>
      </c>
      <c r="B51" s="7">
        <v>8485</v>
      </c>
      <c r="C51" s="7">
        <v>18440</v>
      </c>
      <c r="D51" s="7">
        <v>29165</v>
      </c>
      <c r="E51" s="7">
        <v>8915</v>
      </c>
      <c r="F51" s="7">
        <v>10240</v>
      </c>
      <c r="G51" s="7">
        <v>7330</v>
      </c>
      <c r="H51" s="7">
        <v>21615</v>
      </c>
      <c r="I51" s="7">
        <v>104180</v>
      </c>
      <c r="J51" s="7">
        <v>2396720</v>
      </c>
      <c r="K51" s="7">
        <v>1861655</v>
      </c>
      <c r="L51" s="7">
        <v>2755250</v>
      </c>
      <c r="M51" s="7">
        <v>2220180</v>
      </c>
    </row>
    <row r="52" spans="1:13" x14ac:dyDescent="0.4">
      <c r="A52" s="4">
        <v>2023</v>
      </c>
      <c r="B52" s="7">
        <v>8330</v>
      </c>
      <c r="C52" s="7">
        <v>18355</v>
      </c>
      <c r="D52" s="7">
        <v>28650</v>
      </c>
      <c r="E52" s="7">
        <v>8990</v>
      </c>
      <c r="F52" s="7">
        <v>10085</v>
      </c>
      <c r="G52" s="7">
        <v>7045</v>
      </c>
      <c r="H52" s="7">
        <v>21375</v>
      </c>
      <c r="I52" s="7">
        <v>102830</v>
      </c>
      <c r="J52" s="7">
        <v>2358780</v>
      </c>
      <c r="K52" s="7">
        <v>1833920</v>
      </c>
      <c r="L52" s="7">
        <v>2714340</v>
      </c>
      <c r="M52" s="7">
        <v>2189480</v>
      </c>
    </row>
    <row r="53" spans="1:13" x14ac:dyDescent="0.4">
      <c r="A53" s="4">
        <v>2024</v>
      </c>
      <c r="B53" s="7">
        <v>8425</v>
      </c>
      <c r="C53" s="7">
        <v>18290</v>
      </c>
      <c r="D53" s="7">
        <v>28605</v>
      </c>
      <c r="E53" s="7">
        <v>8905</v>
      </c>
      <c r="F53" s="7">
        <v>10100</v>
      </c>
      <c r="G53" s="7">
        <v>6980</v>
      </c>
      <c r="H53" s="7">
        <v>21335</v>
      </c>
      <c r="I53" s="7">
        <v>102645</v>
      </c>
      <c r="J53" s="7">
        <v>2356795</v>
      </c>
      <c r="K53" s="7">
        <v>1827005</v>
      </c>
      <c r="L53" s="7">
        <v>2712070</v>
      </c>
      <c r="M53" s="7">
        <v>2182280</v>
      </c>
    </row>
    <row r="54" spans="1:13" x14ac:dyDescent="0.4">
      <c r="A54" s="4">
        <v>2025</v>
      </c>
      <c r="B54" s="7">
        <v>8295</v>
      </c>
      <c r="C54" s="7">
        <v>17970</v>
      </c>
      <c r="D54" s="7">
        <v>28685</v>
      </c>
      <c r="E54" s="7">
        <v>8575</v>
      </c>
      <c r="F54" s="7">
        <v>10230</v>
      </c>
      <c r="G54" s="7">
        <v>7025</v>
      </c>
      <c r="H54" s="7">
        <v>21170</v>
      </c>
      <c r="I54" s="7">
        <v>101945</v>
      </c>
      <c r="J54" s="7">
        <v>2365140</v>
      </c>
      <c r="K54" s="7">
        <v>1827825</v>
      </c>
      <c r="L54" s="7">
        <v>2721985</v>
      </c>
      <c r="M54" s="7">
        <v>2184670</v>
      </c>
    </row>
    <row r="56" spans="1:13" x14ac:dyDescent="0.4">
      <c r="A56" s="3" t="s">
        <v>42</v>
      </c>
    </row>
    <row r="57" spans="1:13" x14ac:dyDescent="0.4">
      <c r="A57" s="3" t="s">
        <v>43</v>
      </c>
    </row>
    <row r="58" spans="1:13" x14ac:dyDescent="0.4">
      <c r="A58" s="3" t="s">
        <v>44</v>
      </c>
    </row>
    <row r="61" spans="1:13" x14ac:dyDescent="0.4">
      <c r="A61" s="2" t="s">
        <v>24</v>
      </c>
    </row>
    <row r="62" spans="1:13" x14ac:dyDescent="0.4">
      <c r="A62" s="3" t="s">
        <v>46</v>
      </c>
    </row>
    <row r="64" spans="1:13" x14ac:dyDescent="0.4">
      <c r="A64" s="4" t="s">
        <v>25</v>
      </c>
      <c r="B64" s="4" t="s">
        <v>26</v>
      </c>
    </row>
    <row r="65" spans="1:13" x14ac:dyDescent="0.4">
      <c r="A65" s="4" t="s">
        <v>27</v>
      </c>
      <c r="B65" s="4" t="s">
        <v>26</v>
      </c>
    </row>
    <row r="66" spans="1:13" x14ac:dyDescent="0.4">
      <c r="A66" s="4" t="s">
        <v>28</v>
      </c>
      <c r="B66" s="4" t="s">
        <v>48</v>
      </c>
    </row>
    <row r="68" spans="1:13" ht="78" x14ac:dyDescent="0.4">
      <c r="A68" s="5" t="s">
        <v>30</v>
      </c>
      <c r="B68" s="6" t="s">
        <v>31</v>
      </c>
      <c r="C68" s="6" t="s">
        <v>32</v>
      </c>
      <c r="D68" s="6" t="s">
        <v>33</v>
      </c>
      <c r="E68" s="6" t="s">
        <v>34</v>
      </c>
      <c r="F68" s="6" t="s">
        <v>35</v>
      </c>
      <c r="G68" s="6" t="s">
        <v>36</v>
      </c>
      <c r="H68" s="6" t="s">
        <v>37</v>
      </c>
      <c r="I68" s="6" t="s">
        <v>47</v>
      </c>
      <c r="J68" s="6" t="s">
        <v>38</v>
      </c>
      <c r="K68" s="6" t="s">
        <v>39</v>
      </c>
      <c r="L68" s="6" t="s">
        <v>40</v>
      </c>
      <c r="M68" s="6" t="s">
        <v>41</v>
      </c>
    </row>
    <row r="69" spans="1:13" x14ac:dyDescent="0.4">
      <c r="A69" s="4">
        <v>2010</v>
      </c>
      <c r="B69" s="7">
        <v>4345</v>
      </c>
      <c r="C69" s="7">
        <v>8285</v>
      </c>
      <c r="D69" s="7">
        <v>13780</v>
      </c>
      <c r="E69" s="7">
        <v>3880</v>
      </c>
      <c r="F69" s="7">
        <v>4835</v>
      </c>
      <c r="G69" s="7">
        <v>3365</v>
      </c>
      <c r="H69" s="7">
        <v>10810</v>
      </c>
      <c r="I69" s="7">
        <v>49300</v>
      </c>
      <c r="J69" s="7">
        <v>1107015</v>
      </c>
      <c r="K69" s="7">
        <v>870510</v>
      </c>
      <c r="L69" s="7">
        <v>1236510</v>
      </c>
      <c r="M69" s="7">
        <v>1000005</v>
      </c>
    </row>
    <row r="70" spans="1:13" x14ac:dyDescent="0.4">
      <c r="A70" s="4">
        <v>2011</v>
      </c>
      <c r="B70" s="7">
        <v>4425</v>
      </c>
      <c r="C70" s="7">
        <v>8425</v>
      </c>
      <c r="D70" s="7">
        <v>14035</v>
      </c>
      <c r="E70" s="7">
        <v>3955</v>
      </c>
      <c r="F70" s="7">
        <v>4950</v>
      </c>
      <c r="G70" s="7">
        <v>3450</v>
      </c>
      <c r="H70" s="7">
        <v>10980</v>
      </c>
      <c r="I70" s="7">
        <v>50215</v>
      </c>
      <c r="J70" s="7">
        <v>1113065</v>
      </c>
      <c r="K70" s="7">
        <v>870800</v>
      </c>
      <c r="L70" s="7">
        <v>1244525</v>
      </c>
      <c r="M70" s="7">
        <v>1002265</v>
      </c>
    </row>
    <row r="71" spans="1:13" x14ac:dyDescent="0.4">
      <c r="A71" s="4">
        <v>2012</v>
      </c>
      <c r="B71" s="7">
        <v>4695</v>
      </c>
      <c r="C71" s="7">
        <v>9215</v>
      </c>
      <c r="D71" s="7">
        <v>14925</v>
      </c>
      <c r="E71" s="7">
        <v>4315</v>
      </c>
      <c r="F71" s="7">
        <v>5260</v>
      </c>
      <c r="G71" s="7">
        <v>3750</v>
      </c>
      <c r="H71" s="7">
        <v>11660</v>
      </c>
      <c r="I71" s="7">
        <v>53820</v>
      </c>
      <c r="J71" s="7">
        <v>1188685</v>
      </c>
      <c r="K71" s="7">
        <v>920240</v>
      </c>
      <c r="L71" s="7">
        <v>1329450</v>
      </c>
      <c r="M71" s="7">
        <v>1061000</v>
      </c>
    </row>
    <row r="72" spans="1:13" x14ac:dyDescent="0.4">
      <c r="A72" s="4">
        <v>2013</v>
      </c>
      <c r="B72" s="7">
        <v>4805</v>
      </c>
      <c r="C72" s="7">
        <v>9735</v>
      </c>
      <c r="D72" s="7">
        <v>15415</v>
      </c>
      <c r="E72" s="7">
        <v>4545</v>
      </c>
      <c r="F72" s="7">
        <v>5475</v>
      </c>
      <c r="G72" s="7">
        <v>4005</v>
      </c>
      <c r="H72" s="7">
        <v>12090</v>
      </c>
      <c r="I72" s="7">
        <v>56065</v>
      </c>
      <c r="J72" s="7">
        <v>1240565</v>
      </c>
      <c r="K72" s="7">
        <v>954100</v>
      </c>
      <c r="L72" s="7">
        <v>1387585</v>
      </c>
      <c r="M72" s="7">
        <v>1101120</v>
      </c>
    </row>
    <row r="73" spans="1:13" x14ac:dyDescent="0.4">
      <c r="A73" s="4">
        <v>2014</v>
      </c>
      <c r="B73" s="7">
        <v>5120</v>
      </c>
      <c r="C73" s="7">
        <v>10580</v>
      </c>
      <c r="D73" s="7">
        <v>16355</v>
      </c>
      <c r="E73" s="7">
        <v>4955</v>
      </c>
      <c r="F73" s="7">
        <v>5925</v>
      </c>
      <c r="G73" s="7">
        <v>4375</v>
      </c>
      <c r="H73" s="7">
        <v>12820</v>
      </c>
      <c r="I73" s="7">
        <v>60130</v>
      </c>
      <c r="J73" s="7">
        <v>1338180</v>
      </c>
      <c r="K73" s="7">
        <v>1021995</v>
      </c>
      <c r="L73" s="7">
        <v>1497040</v>
      </c>
      <c r="M73" s="7">
        <v>1180855</v>
      </c>
    </row>
    <row r="74" spans="1:13" x14ac:dyDescent="0.4">
      <c r="A74" s="4">
        <v>2015</v>
      </c>
      <c r="B74" s="7">
        <v>5450</v>
      </c>
      <c r="C74" s="7">
        <v>11740</v>
      </c>
      <c r="D74" s="7">
        <v>17550</v>
      </c>
      <c r="E74" s="7">
        <v>5510</v>
      </c>
      <c r="F74" s="7">
        <v>6380</v>
      </c>
      <c r="G74" s="7">
        <v>4745</v>
      </c>
      <c r="H74" s="7">
        <v>13715</v>
      </c>
      <c r="I74" s="7">
        <v>65085</v>
      </c>
      <c r="J74" s="7">
        <v>1464015</v>
      </c>
      <c r="K74" s="7">
        <v>1110265</v>
      </c>
      <c r="L74" s="7">
        <v>1636135</v>
      </c>
      <c r="M74" s="7">
        <v>1282385</v>
      </c>
    </row>
    <row r="75" spans="1:13" x14ac:dyDescent="0.4">
      <c r="A75" s="4">
        <v>2016</v>
      </c>
      <c r="B75" s="7">
        <v>5715</v>
      </c>
      <c r="C75" s="7">
        <v>12525</v>
      </c>
      <c r="D75" s="7">
        <v>18505</v>
      </c>
      <c r="E75" s="7">
        <v>5835</v>
      </c>
      <c r="F75" s="7">
        <v>6845</v>
      </c>
      <c r="G75" s="7">
        <v>5175</v>
      </c>
      <c r="H75" s="7">
        <v>14510</v>
      </c>
      <c r="I75" s="7">
        <v>69105</v>
      </c>
      <c r="J75" s="7">
        <v>1573780</v>
      </c>
      <c r="K75" s="7">
        <v>1189795</v>
      </c>
      <c r="L75" s="7">
        <v>1756505</v>
      </c>
      <c r="M75" s="7">
        <v>1372520</v>
      </c>
    </row>
    <row r="76" spans="1:13" x14ac:dyDescent="0.4">
      <c r="A76" s="4">
        <v>2017</v>
      </c>
      <c r="B76" s="7">
        <v>5965</v>
      </c>
      <c r="C76" s="7">
        <v>13305</v>
      </c>
      <c r="D76" s="7">
        <v>19295</v>
      </c>
      <c r="E76" s="7">
        <v>6095</v>
      </c>
      <c r="F76" s="7">
        <v>7255</v>
      </c>
      <c r="G76" s="7">
        <v>5605</v>
      </c>
      <c r="H76" s="7">
        <v>18185</v>
      </c>
      <c r="I76" s="7">
        <v>75705</v>
      </c>
      <c r="J76" s="7">
        <v>1693770</v>
      </c>
      <c r="K76" s="7">
        <v>1280550</v>
      </c>
      <c r="L76" s="7">
        <v>1886130</v>
      </c>
      <c r="M76" s="7">
        <v>1472915</v>
      </c>
    </row>
    <row r="77" spans="1:13" x14ac:dyDescent="0.4">
      <c r="A77" s="4">
        <v>2018</v>
      </c>
      <c r="B77" s="7">
        <v>6040</v>
      </c>
      <c r="C77" s="7">
        <v>13520</v>
      </c>
      <c r="D77" s="7">
        <v>19770</v>
      </c>
      <c r="E77" s="7">
        <v>6055</v>
      </c>
      <c r="F77" s="7">
        <v>7300</v>
      </c>
      <c r="G77" s="7">
        <v>5640</v>
      </c>
      <c r="H77" s="7">
        <v>15355</v>
      </c>
      <c r="I77" s="7">
        <v>73680</v>
      </c>
      <c r="J77" s="7">
        <v>1708745</v>
      </c>
      <c r="K77" s="7">
        <v>1290905</v>
      </c>
      <c r="L77" s="7">
        <v>1906120</v>
      </c>
      <c r="M77" s="7">
        <v>1488275</v>
      </c>
    </row>
    <row r="78" spans="1:13" x14ac:dyDescent="0.4">
      <c r="A78" s="4">
        <v>2019</v>
      </c>
      <c r="B78" s="7">
        <v>6265</v>
      </c>
      <c r="C78" s="7">
        <v>13940</v>
      </c>
      <c r="D78" s="7">
        <v>20340</v>
      </c>
      <c r="E78" s="7">
        <v>6200</v>
      </c>
      <c r="F78" s="7">
        <v>7425</v>
      </c>
      <c r="G78" s="7">
        <v>5790</v>
      </c>
      <c r="H78" s="7">
        <v>15365</v>
      </c>
      <c r="I78" s="7">
        <v>75320</v>
      </c>
      <c r="J78" s="7">
        <v>1764045</v>
      </c>
      <c r="K78" s="7">
        <v>1327450</v>
      </c>
      <c r="L78" s="7">
        <v>1969760</v>
      </c>
      <c r="M78" s="7">
        <v>1533165</v>
      </c>
    </row>
    <row r="79" spans="1:13" x14ac:dyDescent="0.4">
      <c r="A79" s="4">
        <v>2020</v>
      </c>
      <c r="B79" s="7">
        <v>6440</v>
      </c>
      <c r="C79" s="7">
        <v>14470</v>
      </c>
      <c r="D79" s="7">
        <v>20890</v>
      </c>
      <c r="E79" s="7">
        <v>6335</v>
      </c>
      <c r="F79" s="7">
        <v>7690</v>
      </c>
      <c r="G79" s="7">
        <v>5850</v>
      </c>
      <c r="H79" s="7">
        <v>15400</v>
      </c>
      <c r="I79" s="7">
        <v>77075</v>
      </c>
      <c r="J79" s="7">
        <v>1812405</v>
      </c>
      <c r="K79" s="7">
        <v>1364250</v>
      </c>
      <c r="L79" s="7">
        <v>2023285</v>
      </c>
      <c r="M79" s="7">
        <v>1575130</v>
      </c>
    </row>
    <row r="80" spans="1:13" x14ac:dyDescent="0.4">
      <c r="A80" s="4">
        <v>2021</v>
      </c>
      <c r="B80" s="7">
        <v>6650</v>
      </c>
      <c r="C80" s="7">
        <v>14560</v>
      </c>
      <c r="D80" s="7">
        <v>21095</v>
      </c>
      <c r="E80" s="7">
        <v>6535</v>
      </c>
      <c r="F80" s="7">
        <v>7705</v>
      </c>
      <c r="G80" s="7">
        <v>5750</v>
      </c>
      <c r="H80" s="7">
        <v>15310</v>
      </c>
      <c r="I80" s="7">
        <v>77605</v>
      </c>
      <c r="J80" s="7">
        <v>1841660</v>
      </c>
      <c r="K80" s="7">
        <v>1388385</v>
      </c>
      <c r="L80" s="7">
        <v>2054065</v>
      </c>
      <c r="M80" s="7">
        <v>1600785</v>
      </c>
    </row>
    <row r="81" spans="1:13" x14ac:dyDescent="0.4">
      <c r="A81" s="4">
        <v>2022</v>
      </c>
      <c r="B81" s="7">
        <v>6515</v>
      </c>
      <c r="C81" s="7">
        <v>14385</v>
      </c>
      <c r="D81" s="7">
        <v>20810</v>
      </c>
      <c r="E81" s="7">
        <v>6530</v>
      </c>
      <c r="F81" s="7">
        <v>7665</v>
      </c>
      <c r="G81" s="7">
        <v>5565</v>
      </c>
      <c r="H81" s="7">
        <v>15215</v>
      </c>
      <c r="I81" s="7">
        <v>76685</v>
      </c>
      <c r="J81" s="7">
        <v>1845720</v>
      </c>
      <c r="K81" s="7">
        <v>1388970</v>
      </c>
      <c r="L81" s="7">
        <v>2058885</v>
      </c>
      <c r="M81" s="7">
        <v>1602135</v>
      </c>
    </row>
    <row r="82" spans="1:13" x14ac:dyDescent="0.4">
      <c r="A82" s="4">
        <v>2023</v>
      </c>
      <c r="B82" s="7">
        <v>6400</v>
      </c>
      <c r="C82" s="7">
        <v>14435</v>
      </c>
      <c r="D82" s="7">
        <v>20640</v>
      </c>
      <c r="E82" s="7">
        <v>6665</v>
      </c>
      <c r="F82" s="7">
        <v>7585</v>
      </c>
      <c r="G82" s="7">
        <v>5380</v>
      </c>
      <c r="H82" s="7">
        <v>15130</v>
      </c>
      <c r="I82" s="7">
        <v>76240</v>
      </c>
      <c r="J82" s="7">
        <v>1826215</v>
      </c>
      <c r="K82" s="7">
        <v>1377335</v>
      </c>
      <c r="L82" s="7">
        <v>2039920</v>
      </c>
      <c r="M82" s="7">
        <v>1591040</v>
      </c>
    </row>
    <row r="83" spans="1:13" x14ac:dyDescent="0.4">
      <c r="A83" s="4">
        <v>2024</v>
      </c>
      <c r="B83" s="7">
        <v>6530</v>
      </c>
      <c r="C83" s="7">
        <v>14475</v>
      </c>
      <c r="D83" s="7">
        <v>20820</v>
      </c>
      <c r="E83" s="7">
        <v>6670</v>
      </c>
      <c r="F83" s="7">
        <v>7675</v>
      </c>
      <c r="G83" s="7">
        <v>5355</v>
      </c>
      <c r="H83" s="7">
        <v>15200</v>
      </c>
      <c r="I83" s="7">
        <v>76725</v>
      </c>
      <c r="J83" s="7">
        <v>1842525</v>
      </c>
      <c r="K83" s="7">
        <v>1386280</v>
      </c>
      <c r="L83" s="7">
        <v>2059120</v>
      </c>
      <c r="M83" s="7">
        <v>1602870</v>
      </c>
    </row>
    <row r="84" spans="1:13" x14ac:dyDescent="0.4">
      <c r="A84" s="4">
        <v>2025</v>
      </c>
      <c r="B84" s="7">
        <v>6500</v>
      </c>
      <c r="C84" s="7">
        <v>14425</v>
      </c>
      <c r="D84" s="7">
        <v>21235</v>
      </c>
      <c r="E84" s="7">
        <v>6475</v>
      </c>
      <c r="F84" s="7">
        <v>7900</v>
      </c>
      <c r="G84" s="7">
        <v>5425</v>
      </c>
      <c r="H84" s="7">
        <v>15290</v>
      </c>
      <c r="I84" s="7">
        <v>77250</v>
      </c>
      <c r="J84" s="7">
        <v>1874825</v>
      </c>
      <c r="K84" s="7">
        <v>1407760</v>
      </c>
      <c r="L84" s="7">
        <v>2096600</v>
      </c>
      <c r="M84" s="7">
        <v>1629530</v>
      </c>
    </row>
    <row r="86" spans="1:13" x14ac:dyDescent="0.4">
      <c r="A86" s="3" t="s">
        <v>42</v>
      </c>
    </row>
    <row r="87" spans="1:13" x14ac:dyDescent="0.4">
      <c r="A87" s="3" t="s">
        <v>43</v>
      </c>
    </row>
    <row r="88" spans="1:13" x14ac:dyDescent="0.4">
      <c r="A88" s="3" t="s">
        <v>44</v>
      </c>
    </row>
    <row r="91" spans="1:13" x14ac:dyDescent="0.4">
      <c r="A91" s="2" t="s">
        <v>24</v>
      </c>
    </row>
    <row r="92" spans="1:13" x14ac:dyDescent="0.4">
      <c r="A92" s="3" t="s">
        <v>46</v>
      </c>
    </row>
    <row r="94" spans="1:13" x14ac:dyDescent="0.4">
      <c r="A94" s="4" t="s">
        <v>25</v>
      </c>
      <c r="B94" s="4" t="s">
        <v>26</v>
      </c>
    </row>
    <row r="95" spans="1:13" x14ac:dyDescent="0.4">
      <c r="A95" s="4" t="s">
        <v>27</v>
      </c>
      <c r="B95" s="4" t="s">
        <v>26</v>
      </c>
    </row>
    <row r="96" spans="1:13" x14ac:dyDescent="0.4">
      <c r="A96" s="4" t="s">
        <v>28</v>
      </c>
      <c r="B96" s="4" t="s">
        <v>49</v>
      </c>
    </row>
    <row r="98" spans="1:13" ht="78" x14ac:dyDescent="0.4">
      <c r="A98" s="5" t="s">
        <v>30</v>
      </c>
      <c r="B98" s="6" t="s">
        <v>31</v>
      </c>
      <c r="C98" s="6" t="s">
        <v>32</v>
      </c>
      <c r="D98" s="6" t="s">
        <v>33</v>
      </c>
      <c r="E98" s="6" t="s">
        <v>34</v>
      </c>
      <c r="F98" s="6" t="s">
        <v>35</v>
      </c>
      <c r="G98" s="6" t="s">
        <v>36</v>
      </c>
      <c r="H98" s="6" t="s">
        <v>37</v>
      </c>
      <c r="I98" s="6" t="s">
        <v>47</v>
      </c>
      <c r="J98" s="6" t="s">
        <v>38</v>
      </c>
      <c r="K98" s="6" t="s">
        <v>39</v>
      </c>
      <c r="L98" s="6" t="s">
        <v>40</v>
      </c>
      <c r="M98" s="6" t="s">
        <v>41</v>
      </c>
    </row>
    <row r="99" spans="1:13" x14ac:dyDescent="0.4">
      <c r="A99" s="4">
        <v>2010</v>
      </c>
      <c r="B99" s="7">
        <v>1570</v>
      </c>
      <c r="C99" s="7">
        <v>2830</v>
      </c>
      <c r="D99" s="7">
        <v>6270</v>
      </c>
      <c r="E99" s="7">
        <v>1820</v>
      </c>
      <c r="F99" s="7">
        <v>1940</v>
      </c>
      <c r="G99" s="7">
        <v>1055</v>
      </c>
      <c r="H99" s="7">
        <v>4615</v>
      </c>
      <c r="I99" s="7">
        <v>20100</v>
      </c>
      <c r="J99" s="7">
        <v>401375</v>
      </c>
      <c r="K99" s="7">
        <v>338690</v>
      </c>
      <c r="L99" s="7">
        <v>500520</v>
      </c>
      <c r="M99" s="7">
        <v>437835</v>
      </c>
    </row>
    <row r="100" spans="1:13" x14ac:dyDescent="0.4">
      <c r="A100" s="4">
        <v>2011</v>
      </c>
      <c r="B100" s="7">
        <v>1530</v>
      </c>
      <c r="C100" s="7">
        <v>2715</v>
      </c>
      <c r="D100" s="7">
        <v>6055</v>
      </c>
      <c r="E100" s="7">
        <v>1755</v>
      </c>
      <c r="F100" s="7">
        <v>1840</v>
      </c>
      <c r="G100" s="7">
        <v>1030</v>
      </c>
      <c r="H100" s="7">
        <v>4495</v>
      </c>
      <c r="I100" s="7">
        <v>19415</v>
      </c>
      <c r="J100" s="7">
        <v>388350</v>
      </c>
      <c r="K100" s="7">
        <v>327400</v>
      </c>
      <c r="L100" s="7">
        <v>484880</v>
      </c>
      <c r="M100" s="7">
        <v>423930</v>
      </c>
    </row>
    <row r="101" spans="1:13" x14ac:dyDescent="0.4">
      <c r="A101" s="4">
        <v>2012</v>
      </c>
      <c r="B101" s="7">
        <v>1445</v>
      </c>
      <c r="C101" s="7">
        <v>2665</v>
      </c>
      <c r="D101" s="7">
        <v>5860</v>
      </c>
      <c r="E101" s="7">
        <v>1670</v>
      </c>
      <c r="F101" s="7">
        <v>1775</v>
      </c>
      <c r="G101" s="7">
        <v>1010</v>
      </c>
      <c r="H101" s="7">
        <v>4350</v>
      </c>
      <c r="I101" s="7">
        <v>18780</v>
      </c>
      <c r="J101" s="7">
        <v>380850</v>
      </c>
      <c r="K101" s="7">
        <v>319720</v>
      </c>
      <c r="L101" s="7">
        <v>475995</v>
      </c>
      <c r="M101" s="7">
        <v>414865</v>
      </c>
    </row>
    <row r="102" spans="1:13" x14ac:dyDescent="0.4">
      <c r="A102" s="4">
        <v>2013</v>
      </c>
      <c r="B102" s="7">
        <v>1330</v>
      </c>
      <c r="C102" s="7">
        <v>2565</v>
      </c>
      <c r="D102" s="7">
        <v>5560</v>
      </c>
      <c r="E102" s="7">
        <v>1570</v>
      </c>
      <c r="F102" s="7">
        <v>1665</v>
      </c>
      <c r="G102" s="7">
        <v>940</v>
      </c>
      <c r="H102" s="7">
        <v>4095</v>
      </c>
      <c r="I102" s="7">
        <v>17720</v>
      </c>
      <c r="J102" s="7">
        <v>359130</v>
      </c>
      <c r="K102" s="7">
        <v>301955</v>
      </c>
      <c r="L102" s="7">
        <v>449525</v>
      </c>
      <c r="M102" s="7">
        <v>392350</v>
      </c>
    </row>
    <row r="103" spans="1:13" x14ac:dyDescent="0.4">
      <c r="A103" s="4">
        <v>2014</v>
      </c>
      <c r="B103" s="7">
        <v>1290</v>
      </c>
      <c r="C103" s="7">
        <v>2580</v>
      </c>
      <c r="D103" s="7">
        <v>5405</v>
      </c>
      <c r="E103" s="7">
        <v>1525</v>
      </c>
      <c r="F103" s="7">
        <v>1655</v>
      </c>
      <c r="G103" s="7">
        <v>980</v>
      </c>
      <c r="H103" s="7">
        <v>4060</v>
      </c>
      <c r="I103" s="7">
        <v>17490</v>
      </c>
      <c r="J103" s="7">
        <v>355600</v>
      </c>
      <c r="K103" s="7">
        <v>298600</v>
      </c>
      <c r="L103" s="7">
        <v>443855</v>
      </c>
      <c r="M103" s="7">
        <v>386850</v>
      </c>
    </row>
    <row r="104" spans="1:13" x14ac:dyDescent="0.4">
      <c r="A104" s="4">
        <v>2015</v>
      </c>
      <c r="B104" s="7">
        <v>1410</v>
      </c>
      <c r="C104" s="7">
        <v>3015</v>
      </c>
      <c r="D104" s="7">
        <v>5795</v>
      </c>
      <c r="E104" s="7">
        <v>1700</v>
      </c>
      <c r="F104" s="7">
        <v>1820</v>
      </c>
      <c r="G104" s="7">
        <v>1135</v>
      </c>
      <c r="H104" s="7">
        <v>4375</v>
      </c>
      <c r="I104" s="7">
        <v>19245</v>
      </c>
      <c r="J104" s="7">
        <v>395690</v>
      </c>
      <c r="K104" s="7">
        <v>332000</v>
      </c>
      <c r="L104" s="7">
        <v>490405</v>
      </c>
      <c r="M104" s="7">
        <v>426720</v>
      </c>
    </row>
    <row r="105" spans="1:13" x14ac:dyDescent="0.4">
      <c r="A105" s="4">
        <v>2016</v>
      </c>
      <c r="B105" s="7">
        <v>1390</v>
      </c>
      <c r="C105" s="7">
        <v>2955</v>
      </c>
      <c r="D105" s="7">
        <v>5655</v>
      </c>
      <c r="E105" s="7">
        <v>1650</v>
      </c>
      <c r="F105" s="7">
        <v>1775</v>
      </c>
      <c r="G105" s="7">
        <v>1125</v>
      </c>
      <c r="H105" s="7">
        <v>4235</v>
      </c>
      <c r="I105" s="7">
        <v>18790</v>
      </c>
      <c r="J105" s="7">
        <v>384375</v>
      </c>
      <c r="K105" s="7">
        <v>322175</v>
      </c>
      <c r="L105" s="7">
        <v>476635</v>
      </c>
      <c r="M105" s="7">
        <v>414440</v>
      </c>
    </row>
    <row r="106" spans="1:13" x14ac:dyDescent="0.4">
      <c r="A106" s="4">
        <v>2017</v>
      </c>
      <c r="B106" s="7">
        <v>1305</v>
      </c>
      <c r="C106" s="7">
        <v>2895</v>
      </c>
      <c r="D106" s="7">
        <v>5485</v>
      </c>
      <c r="E106" s="7">
        <v>1600</v>
      </c>
      <c r="F106" s="7">
        <v>1750</v>
      </c>
      <c r="G106" s="7">
        <v>1145</v>
      </c>
      <c r="H106" s="7">
        <v>4070</v>
      </c>
      <c r="I106" s="7">
        <v>18250</v>
      </c>
      <c r="J106" s="7">
        <v>375645</v>
      </c>
      <c r="K106" s="7">
        <v>314310</v>
      </c>
      <c r="L106" s="7">
        <v>466165</v>
      </c>
      <c r="M106" s="7">
        <v>404830</v>
      </c>
    </row>
    <row r="107" spans="1:13" x14ac:dyDescent="0.4">
      <c r="A107" s="4">
        <v>2018</v>
      </c>
      <c r="B107" s="7">
        <v>1270</v>
      </c>
      <c r="C107" s="7">
        <v>2685</v>
      </c>
      <c r="D107" s="7">
        <v>5395</v>
      </c>
      <c r="E107" s="7">
        <v>1540</v>
      </c>
      <c r="F107" s="7">
        <v>1705</v>
      </c>
      <c r="G107" s="7">
        <v>1125</v>
      </c>
      <c r="H107" s="7">
        <v>3885</v>
      </c>
      <c r="I107" s="7">
        <v>17600</v>
      </c>
      <c r="J107" s="7">
        <v>362890</v>
      </c>
      <c r="K107" s="7">
        <v>304060</v>
      </c>
      <c r="L107" s="7">
        <v>451955</v>
      </c>
      <c r="M107" s="7">
        <v>393125</v>
      </c>
    </row>
    <row r="108" spans="1:13" x14ac:dyDescent="0.4">
      <c r="A108" s="4">
        <v>2019</v>
      </c>
      <c r="B108" s="7">
        <v>1270</v>
      </c>
      <c r="C108" s="7">
        <v>2650</v>
      </c>
      <c r="D108" s="7">
        <v>5275</v>
      </c>
      <c r="E108" s="7">
        <v>1500</v>
      </c>
      <c r="F108" s="7">
        <v>1665</v>
      </c>
      <c r="G108" s="7">
        <v>1120</v>
      </c>
      <c r="H108" s="7">
        <v>3790</v>
      </c>
      <c r="I108" s="7">
        <v>17270</v>
      </c>
      <c r="J108" s="7">
        <v>356150</v>
      </c>
      <c r="K108" s="7">
        <v>298195</v>
      </c>
      <c r="L108" s="7">
        <v>443745</v>
      </c>
      <c r="M108" s="7">
        <v>385785</v>
      </c>
    </row>
    <row r="109" spans="1:13" x14ac:dyDescent="0.4">
      <c r="A109" s="4">
        <v>2020</v>
      </c>
      <c r="B109" s="7">
        <v>1190</v>
      </c>
      <c r="C109" s="7">
        <v>2485</v>
      </c>
      <c r="D109" s="7">
        <v>5045</v>
      </c>
      <c r="E109" s="7">
        <v>1455</v>
      </c>
      <c r="F109" s="7">
        <v>1625</v>
      </c>
      <c r="G109" s="7">
        <v>1130</v>
      </c>
      <c r="H109" s="7">
        <v>3645</v>
      </c>
      <c r="I109" s="7">
        <v>16575</v>
      </c>
      <c r="J109" s="7">
        <v>345955</v>
      </c>
      <c r="K109" s="7">
        <v>288925</v>
      </c>
      <c r="L109" s="7">
        <v>430945</v>
      </c>
      <c r="M109" s="7">
        <v>373910</v>
      </c>
    </row>
    <row r="110" spans="1:13" x14ac:dyDescent="0.4">
      <c r="A110" s="4">
        <v>2021</v>
      </c>
      <c r="B110" s="7">
        <v>1145</v>
      </c>
      <c r="C110" s="7">
        <v>2555</v>
      </c>
      <c r="D110" s="7">
        <v>4840</v>
      </c>
      <c r="E110" s="7">
        <v>1430</v>
      </c>
      <c r="F110" s="7">
        <v>1645</v>
      </c>
      <c r="G110" s="7">
        <v>1185</v>
      </c>
      <c r="H110" s="7">
        <v>3530</v>
      </c>
      <c r="I110" s="7">
        <v>16325</v>
      </c>
      <c r="J110" s="7">
        <v>341150</v>
      </c>
      <c r="K110" s="7">
        <v>284235</v>
      </c>
      <c r="L110" s="7">
        <v>426375</v>
      </c>
      <c r="M110" s="7">
        <v>369460</v>
      </c>
    </row>
    <row r="111" spans="1:13" x14ac:dyDescent="0.4">
      <c r="A111" s="4">
        <v>2022</v>
      </c>
      <c r="B111" s="7">
        <v>1180</v>
      </c>
      <c r="C111" s="7">
        <v>2495</v>
      </c>
      <c r="D111" s="7">
        <v>4830</v>
      </c>
      <c r="E111" s="7">
        <v>1475</v>
      </c>
      <c r="F111" s="7">
        <v>1650</v>
      </c>
      <c r="G111" s="7">
        <v>1295</v>
      </c>
      <c r="H111" s="7">
        <v>3590</v>
      </c>
      <c r="I111" s="7">
        <v>16515</v>
      </c>
      <c r="J111" s="7">
        <v>342240</v>
      </c>
      <c r="K111" s="7">
        <v>286760</v>
      </c>
      <c r="L111" s="7">
        <v>427710</v>
      </c>
      <c r="M111" s="7">
        <v>372235</v>
      </c>
    </row>
    <row r="112" spans="1:13" x14ac:dyDescent="0.4">
      <c r="A112" s="4">
        <v>2023</v>
      </c>
      <c r="B112" s="7">
        <v>1155</v>
      </c>
      <c r="C112" s="7">
        <v>2365</v>
      </c>
      <c r="D112" s="7">
        <v>4655</v>
      </c>
      <c r="E112" s="7">
        <v>1435</v>
      </c>
      <c r="F112" s="7">
        <v>1600</v>
      </c>
      <c r="G112" s="7">
        <v>1210</v>
      </c>
      <c r="H112" s="7">
        <v>3500</v>
      </c>
      <c r="I112" s="7">
        <v>15925</v>
      </c>
      <c r="J112" s="7">
        <v>330080</v>
      </c>
      <c r="K112" s="7">
        <v>276280</v>
      </c>
      <c r="L112" s="7">
        <v>413160</v>
      </c>
      <c r="M112" s="7">
        <v>359360</v>
      </c>
    </row>
    <row r="113" spans="1:13" x14ac:dyDescent="0.4">
      <c r="A113" s="4">
        <v>2024</v>
      </c>
      <c r="B113" s="7">
        <v>1130</v>
      </c>
      <c r="C113" s="7">
        <v>2265</v>
      </c>
      <c r="D113" s="7">
        <v>4495</v>
      </c>
      <c r="E113" s="7">
        <v>1380</v>
      </c>
      <c r="F113" s="7">
        <v>1550</v>
      </c>
      <c r="G113" s="7">
        <v>1180</v>
      </c>
      <c r="H113" s="7">
        <v>3420</v>
      </c>
      <c r="I113" s="7">
        <v>15415</v>
      </c>
      <c r="J113" s="7">
        <v>316025</v>
      </c>
      <c r="K113" s="7">
        <v>264195</v>
      </c>
      <c r="L113" s="7">
        <v>396740</v>
      </c>
      <c r="M113" s="7">
        <v>344910</v>
      </c>
    </row>
    <row r="114" spans="1:13" x14ac:dyDescent="0.4">
      <c r="A114" s="4">
        <v>2025</v>
      </c>
      <c r="B114" s="7">
        <v>1060</v>
      </c>
      <c r="C114" s="7">
        <v>2165</v>
      </c>
      <c r="D114" s="7">
        <v>4355</v>
      </c>
      <c r="E114" s="7">
        <v>1280</v>
      </c>
      <c r="F114" s="7">
        <v>1495</v>
      </c>
      <c r="G114" s="7">
        <v>1170</v>
      </c>
      <c r="H114" s="7">
        <v>3330</v>
      </c>
      <c r="I114" s="7">
        <v>14850</v>
      </c>
      <c r="J114" s="7">
        <v>302040</v>
      </c>
      <c r="K114" s="7">
        <v>253155</v>
      </c>
      <c r="L114" s="7">
        <v>380520</v>
      </c>
      <c r="M114" s="7">
        <v>331635</v>
      </c>
    </row>
    <row r="116" spans="1:13" x14ac:dyDescent="0.4">
      <c r="A116" s="3" t="s">
        <v>42</v>
      </c>
    </row>
    <row r="117" spans="1:13" x14ac:dyDescent="0.4">
      <c r="A117" s="3" t="s">
        <v>43</v>
      </c>
    </row>
    <row r="118" spans="1:13" x14ac:dyDescent="0.4">
      <c r="A118" s="3" t="s">
        <v>44</v>
      </c>
    </row>
    <row r="121" spans="1:13" x14ac:dyDescent="0.4">
      <c r="A121" s="2" t="s">
        <v>24</v>
      </c>
    </row>
    <row r="122" spans="1:13" x14ac:dyDescent="0.4">
      <c r="A122" s="3" t="s">
        <v>46</v>
      </c>
    </row>
    <row r="124" spans="1:13" x14ac:dyDescent="0.4">
      <c r="A124" s="4" t="s">
        <v>25</v>
      </c>
      <c r="B124" s="4" t="s">
        <v>26</v>
      </c>
    </row>
    <row r="125" spans="1:13" x14ac:dyDescent="0.4">
      <c r="A125" s="4" t="s">
        <v>27</v>
      </c>
      <c r="B125" s="4" t="s">
        <v>26</v>
      </c>
    </row>
    <row r="126" spans="1:13" x14ac:dyDescent="0.4">
      <c r="A126" s="4" t="s">
        <v>28</v>
      </c>
      <c r="B126" s="4" t="s">
        <v>45</v>
      </c>
    </row>
    <row r="128" spans="1:13" ht="78" x14ac:dyDescent="0.4">
      <c r="A128" s="5" t="s">
        <v>30</v>
      </c>
      <c r="B128" s="6" t="s">
        <v>31</v>
      </c>
      <c r="C128" s="6" t="s">
        <v>32</v>
      </c>
      <c r="D128" s="6" t="s">
        <v>33</v>
      </c>
      <c r="E128" s="6" t="s">
        <v>34</v>
      </c>
      <c r="F128" s="6" t="s">
        <v>35</v>
      </c>
      <c r="G128" s="6" t="s">
        <v>36</v>
      </c>
      <c r="H128" s="6" t="s">
        <v>37</v>
      </c>
      <c r="I128" s="6" t="s">
        <v>47</v>
      </c>
      <c r="J128" s="6" t="s">
        <v>38</v>
      </c>
      <c r="K128" s="6" t="s">
        <v>39</v>
      </c>
      <c r="L128" s="6" t="s">
        <v>40</v>
      </c>
      <c r="M128" s="6" t="s">
        <v>41</v>
      </c>
    </row>
    <row r="129" spans="1:13" x14ac:dyDescent="0.4">
      <c r="A129" s="4">
        <v>2010</v>
      </c>
      <c r="B129" s="7">
        <v>835</v>
      </c>
      <c r="C129" s="7">
        <v>1250</v>
      </c>
      <c r="D129" s="7">
        <v>3505</v>
      </c>
      <c r="E129" s="7">
        <v>1030</v>
      </c>
      <c r="F129" s="7">
        <v>1005</v>
      </c>
      <c r="G129" s="7">
        <v>570</v>
      </c>
      <c r="H129" s="7">
        <v>2985</v>
      </c>
      <c r="I129" s="7">
        <v>11180</v>
      </c>
      <c r="J129" s="7">
        <v>218295</v>
      </c>
      <c r="K129" s="7">
        <v>198435</v>
      </c>
      <c r="L129" s="7">
        <v>276280</v>
      </c>
      <c r="M129" s="7">
        <v>256420</v>
      </c>
    </row>
    <row r="130" spans="1:13" x14ac:dyDescent="0.4">
      <c r="A130" s="4">
        <v>2011</v>
      </c>
      <c r="B130" s="7">
        <v>775</v>
      </c>
      <c r="C130" s="7">
        <v>1180</v>
      </c>
      <c r="D130" s="7">
        <v>3340</v>
      </c>
      <c r="E130" s="7">
        <v>975</v>
      </c>
      <c r="F130" s="7">
        <v>970</v>
      </c>
      <c r="G130" s="7">
        <v>530</v>
      </c>
      <c r="H130" s="7">
        <v>2905</v>
      </c>
      <c r="I130" s="7">
        <v>10675</v>
      </c>
      <c r="J130" s="7">
        <v>208285</v>
      </c>
      <c r="K130" s="7">
        <v>189495</v>
      </c>
      <c r="L130" s="7">
        <v>264700</v>
      </c>
      <c r="M130" s="7">
        <v>245905</v>
      </c>
    </row>
    <row r="131" spans="1:13" x14ac:dyDescent="0.4">
      <c r="A131" s="4">
        <v>2012</v>
      </c>
      <c r="B131" s="7">
        <v>740</v>
      </c>
      <c r="C131" s="7">
        <v>1120</v>
      </c>
      <c r="D131" s="7">
        <v>3200</v>
      </c>
      <c r="E131" s="7">
        <v>925</v>
      </c>
      <c r="F131" s="7">
        <v>945</v>
      </c>
      <c r="G131" s="7">
        <v>490</v>
      </c>
      <c r="H131" s="7">
        <v>2810</v>
      </c>
      <c r="I131" s="7">
        <v>10230</v>
      </c>
      <c r="J131" s="7">
        <v>200000</v>
      </c>
      <c r="K131" s="7">
        <v>182095</v>
      </c>
      <c r="L131" s="7">
        <v>255080</v>
      </c>
      <c r="M131" s="7">
        <v>237175</v>
      </c>
    </row>
    <row r="132" spans="1:13" x14ac:dyDescent="0.4">
      <c r="A132" s="4">
        <v>2013</v>
      </c>
      <c r="B132" s="7">
        <v>705</v>
      </c>
      <c r="C132" s="7">
        <v>1025</v>
      </c>
      <c r="D132" s="7">
        <v>3090</v>
      </c>
      <c r="E132" s="7">
        <v>865</v>
      </c>
      <c r="F132" s="7">
        <v>915</v>
      </c>
      <c r="G132" s="7">
        <v>460</v>
      </c>
      <c r="H132" s="7">
        <v>2730</v>
      </c>
      <c r="I132" s="7">
        <v>9790</v>
      </c>
      <c r="J132" s="7">
        <v>190180</v>
      </c>
      <c r="K132" s="7">
        <v>173520</v>
      </c>
      <c r="L132" s="7">
        <v>243235</v>
      </c>
      <c r="M132" s="7">
        <v>226575</v>
      </c>
    </row>
    <row r="133" spans="1:13" x14ac:dyDescent="0.4">
      <c r="A133" s="4">
        <v>2014</v>
      </c>
      <c r="B133" s="7">
        <v>665</v>
      </c>
      <c r="C133" s="7">
        <v>960</v>
      </c>
      <c r="D133" s="7">
        <v>2990</v>
      </c>
      <c r="E133" s="7">
        <v>835</v>
      </c>
      <c r="F133" s="7">
        <v>875</v>
      </c>
      <c r="G133" s="7">
        <v>430</v>
      </c>
      <c r="H133" s="7">
        <v>2625</v>
      </c>
      <c r="I133" s="7">
        <v>9380</v>
      </c>
      <c r="J133" s="7">
        <v>182410</v>
      </c>
      <c r="K133" s="7">
        <v>166840</v>
      </c>
      <c r="L133" s="7">
        <v>233780</v>
      </c>
      <c r="M133" s="7">
        <v>218205</v>
      </c>
    </row>
    <row r="134" spans="1:13" x14ac:dyDescent="0.4">
      <c r="A134" s="4">
        <v>2015</v>
      </c>
      <c r="B134" s="7">
        <v>650</v>
      </c>
      <c r="C134" s="7">
        <v>970</v>
      </c>
      <c r="D134" s="7">
        <v>2945</v>
      </c>
      <c r="E134" s="7">
        <v>805</v>
      </c>
      <c r="F134" s="7">
        <v>855</v>
      </c>
      <c r="G134" s="7">
        <v>435</v>
      </c>
      <c r="H134" s="7">
        <v>2600</v>
      </c>
      <c r="I134" s="7">
        <v>9255</v>
      </c>
      <c r="J134" s="7">
        <v>181825</v>
      </c>
      <c r="K134" s="7">
        <v>166500</v>
      </c>
      <c r="L134" s="7">
        <v>232865</v>
      </c>
      <c r="M134" s="7">
        <v>217540</v>
      </c>
    </row>
    <row r="135" spans="1:13" x14ac:dyDescent="0.4">
      <c r="A135" s="4">
        <v>2016</v>
      </c>
      <c r="B135" s="7">
        <v>635</v>
      </c>
      <c r="C135" s="7">
        <v>920</v>
      </c>
      <c r="D135" s="7">
        <v>2835</v>
      </c>
      <c r="E135" s="7">
        <v>750</v>
      </c>
      <c r="F135" s="7">
        <v>805</v>
      </c>
      <c r="G135" s="7">
        <v>400</v>
      </c>
      <c r="H135" s="7">
        <v>2525</v>
      </c>
      <c r="I135" s="7">
        <v>8870</v>
      </c>
      <c r="J135" s="7">
        <v>173875</v>
      </c>
      <c r="K135" s="7">
        <v>159665</v>
      </c>
      <c r="L135" s="7">
        <v>223875</v>
      </c>
      <c r="M135" s="7">
        <v>209665</v>
      </c>
    </row>
    <row r="136" spans="1:13" x14ac:dyDescent="0.4">
      <c r="A136" s="4">
        <v>2017</v>
      </c>
      <c r="B136" s="7">
        <v>605</v>
      </c>
      <c r="C136" s="7">
        <v>865</v>
      </c>
      <c r="D136" s="7">
        <v>2775</v>
      </c>
      <c r="E136" s="7">
        <v>725</v>
      </c>
      <c r="F136" s="7">
        <v>780</v>
      </c>
      <c r="G136" s="7">
        <v>365</v>
      </c>
      <c r="H136" s="7">
        <v>2410</v>
      </c>
      <c r="I136" s="7">
        <v>8530</v>
      </c>
      <c r="J136" s="7">
        <v>166985</v>
      </c>
      <c r="K136" s="7">
        <v>153640</v>
      </c>
      <c r="L136" s="7">
        <v>215845</v>
      </c>
      <c r="M136" s="7">
        <v>202505</v>
      </c>
    </row>
    <row r="137" spans="1:13" x14ac:dyDescent="0.4">
      <c r="A137" s="4">
        <v>2018</v>
      </c>
      <c r="B137" s="7">
        <v>595</v>
      </c>
      <c r="C137" s="7">
        <v>820</v>
      </c>
      <c r="D137" s="7">
        <v>2710</v>
      </c>
      <c r="E137" s="7">
        <v>690</v>
      </c>
      <c r="F137" s="7">
        <v>755</v>
      </c>
      <c r="G137" s="7">
        <v>350</v>
      </c>
      <c r="H137" s="7">
        <v>2320</v>
      </c>
      <c r="I137" s="7">
        <v>8240</v>
      </c>
      <c r="J137" s="7">
        <v>161770</v>
      </c>
      <c r="K137" s="7">
        <v>149195</v>
      </c>
      <c r="L137" s="7">
        <v>210120</v>
      </c>
      <c r="M137" s="7">
        <v>197540</v>
      </c>
    </row>
    <row r="138" spans="1:13" x14ac:dyDescent="0.4">
      <c r="A138" s="4">
        <v>2019</v>
      </c>
      <c r="B138" s="7">
        <v>565</v>
      </c>
      <c r="C138" s="7">
        <v>745</v>
      </c>
      <c r="D138" s="7">
        <v>2640</v>
      </c>
      <c r="E138" s="7">
        <v>675</v>
      </c>
      <c r="F138" s="7">
        <v>720</v>
      </c>
      <c r="G138" s="7">
        <v>330</v>
      </c>
      <c r="H138" s="7">
        <v>2295</v>
      </c>
      <c r="I138" s="7">
        <v>7975</v>
      </c>
      <c r="J138" s="7">
        <v>156345</v>
      </c>
      <c r="K138" s="7">
        <v>144595</v>
      </c>
      <c r="L138" s="7">
        <v>203935</v>
      </c>
      <c r="M138" s="7">
        <v>192185</v>
      </c>
    </row>
    <row r="139" spans="1:13" x14ac:dyDescent="0.4">
      <c r="A139" s="4">
        <v>2020</v>
      </c>
      <c r="B139" s="7">
        <v>525</v>
      </c>
      <c r="C139" s="7">
        <v>685</v>
      </c>
      <c r="D139" s="7">
        <v>2560</v>
      </c>
      <c r="E139" s="7">
        <v>650</v>
      </c>
      <c r="F139" s="7">
        <v>680</v>
      </c>
      <c r="G139" s="7">
        <v>310</v>
      </c>
      <c r="H139" s="7">
        <v>2225</v>
      </c>
      <c r="I139" s="7">
        <v>7630</v>
      </c>
      <c r="J139" s="7">
        <v>148820</v>
      </c>
      <c r="K139" s="7">
        <v>137975</v>
      </c>
      <c r="L139" s="7">
        <v>194840</v>
      </c>
      <c r="M139" s="7">
        <v>183995</v>
      </c>
    </row>
    <row r="140" spans="1:13" x14ac:dyDescent="0.4">
      <c r="A140" s="4">
        <v>2021</v>
      </c>
      <c r="B140" s="7">
        <v>505</v>
      </c>
      <c r="C140" s="7">
        <v>650</v>
      </c>
      <c r="D140" s="7">
        <v>2420</v>
      </c>
      <c r="E140" s="7">
        <v>610</v>
      </c>
      <c r="F140" s="7">
        <v>655</v>
      </c>
      <c r="G140" s="7">
        <v>280</v>
      </c>
      <c r="H140" s="7">
        <v>2090</v>
      </c>
      <c r="I140" s="7">
        <v>7215</v>
      </c>
      <c r="J140" s="7">
        <v>140500</v>
      </c>
      <c r="K140" s="7">
        <v>130360</v>
      </c>
      <c r="L140" s="7">
        <v>185260</v>
      </c>
      <c r="M140" s="7">
        <v>175125</v>
      </c>
    </row>
    <row r="141" spans="1:13" x14ac:dyDescent="0.4">
      <c r="A141" s="4">
        <v>2022</v>
      </c>
      <c r="B141" s="7">
        <v>490</v>
      </c>
      <c r="C141" s="7">
        <v>615</v>
      </c>
      <c r="D141" s="7">
        <v>2365</v>
      </c>
      <c r="E141" s="7">
        <v>590</v>
      </c>
      <c r="F141" s="7">
        <v>635</v>
      </c>
      <c r="G141" s="7">
        <v>280</v>
      </c>
      <c r="H141" s="7">
        <v>2050</v>
      </c>
      <c r="I141" s="7">
        <v>7025</v>
      </c>
      <c r="J141" s="7">
        <v>136805</v>
      </c>
      <c r="K141" s="7">
        <v>127310</v>
      </c>
      <c r="L141" s="7">
        <v>181010</v>
      </c>
      <c r="M141" s="7">
        <v>171515</v>
      </c>
    </row>
    <row r="142" spans="1:13" x14ac:dyDescent="0.4">
      <c r="A142" s="4">
        <v>2023</v>
      </c>
      <c r="B142" s="7">
        <v>485</v>
      </c>
      <c r="C142" s="7">
        <v>590</v>
      </c>
      <c r="D142" s="7">
        <v>2215</v>
      </c>
      <c r="E142" s="7">
        <v>570</v>
      </c>
      <c r="F142" s="7">
        <v>610</v>
      </c>
      <c r="G142" s="7">
        <v>265</v>
      </c>
      <c r="H142" s="7">
        <v>1980</v>
      </c>
      <c r="I142" s="7">
        <v>6715</v>
      </c>
      <c r="J142" s="7">
        <v>129955</v>
      </c>
      <c r="K142" s="7">
        <v>121085</v>
      </c>
      <c r="L142" s="7">
        <v>172885</v>
      </c>
      <c r="M142" s="7">
        <v>164020</v>
      </c>
    </row>
    <row r="143" spans="1:13" x14ac:dyDescent="0.4">
      <c r="A143" s="4">
        <v>2024</v>
      </c>
      <c r="B143" s="7">
        <v>470</v>
      </c>
      <c r="C143" s="7">
        <v>565</v>
      </c>
      <c r="D143" s="7">
        <v>2145</v>
      </c>
      <c r="E143" s="7">
        <v>555</v>
      </c>
      <c r="F143" s="7">
        <v>580</v>
      </c>
      <c r="G143" s="7">
        <v>260</v>
      </c>
      <c r="H143" s="7">
        <v>1975</v>
      </c>
      <c r="I143" s="7">
        <v>6545</v>
      </c>
      <c r="J143" s="7">
        <v>125405</v>
      </c>
      <c r="K143" s="7">
        <v>117010</v>
      </c>
      <c r="L143" s="7">
        <v>167470</v>
      </c>
      <c r="M143" s="7">
        <v>159070</v>
      </c>
    </row>
    <row r="144" spans="1:13" x14ac:dyDescent="0.4">
      <c r="A144" s="4">
        <v>2025</v>
      </c>
      <c r="B144" s="7">
        <v>440</v>
      </c>
      <c r="C144" s="7">
        <v>525</v>
      </c>
      <c r="D144" s="7">
        <v>2095</v>
      </c>
      <c r="E144" s="7">
        <v>545</v>
      </c>
      <c r="F144" s="7">
        <v>540</v>
      </c>
      <c r="G144" s="7">
        <v>250</v>
      </c>
      <c r="H144" s="7">
        <v>1880</v>
      </c>
      <c r="I144" s="7">
        <v>6270</v>
      </c>
      <c r="J144" s="7">
        <v>119900</v>
      </c>
      <c r="K144" s="7">
        <v>111940</v>
      </c>
      <c r="L144" s="7">
        <v>160865</v>
      </c>
      <c r="M144" s="7">
        <v>152905</v>
      </c>
    </row>
    <row r="146" spans="1:13" x14ac:dyDescent="0.4">
      <c r="A146" s="3" t="s">
        <v>42</v>
      </c>
    </row>
    <row r="147" spans="1:13" x14ac:dyDescent="0.4">
      <c r="A147" s="3" t="s">
        <v>43</v>
      </c>
    </row>
    <row r="148" spans="1:13" x14ac:dyDescent="0.4">
      <c r="A148" s="3" t="s">
        <v>44</v>
      </c>
    </row>
    <row r="151" spans="1:13" x14ac:dyDescent="0.4">
      <c r="A151" s="2" t="s">
        <v>24</v>
      </c>
    </row>
    <row r="152" spans="1:13" x14ac:dyDescent="0.4">
      <c r="A152" s="3" t="s">
        <v>46</v>
      </c>
    </row>
    <row r="154" spans="1:13" x14ac:dyDescent="0.4">
      <c r="A154" s="4" t="s">
        <v>25</v>
      </c>
      <c r="B154" s="4" t="s">
        <v>26</v>
      </c>
    </row>
    <row r="155" spans="1:13" x14ac:dyDescent="0.4">
      <c r="A155" s="4" t="s">
        <v>27</v>
      </c>
      <c r="B155" s="4" t="s">
        <v>26</v>
      </c>
    </row>
    <row r="156" spans="1:13" x14ac:dyDescent="0.4">
      <c r="A156" s="4" t="s">
        <v>28</v>
      </c>
      <c r="B156" s="4" t="s">
        <v>50</v>
      </c>
    </row>
    <row r="158" spans="1:13" ht="78" x14ac:dyDescent="0.4">
      <c r="A158" s="5" t="s">
        <v>30</v>
      </c>
      <c r="B158" s="6" t="s">
        <v>31</v>
      </c>
      <c r="C158" s="6" t="s">
        <v>32</v>
      </c>
      <c r="D158" s="6" t="s">
        <v>33</v>
      </c>
      <c r="E158" s="6" t="s">
        <v>34</v>
      </c>
      <c r="F158" s="6" t="s">
        <v>35</v>
      </c>
      <c r="G158" s="6" t="s">
        <v>36</v>
      </c>
      <c r="H158" s="6" t="s">
        <v>37</v>
      </c>
      <c r="I158" s="6" t="s">
        <v>47</v>
      </c>
      <c r="J158" s="6" t="s">
        <v>38</v>
      </c>
      <c r="K158" s="6" t="s">
        <v>39</v>
      </c>
      <c r="L158" s="6" t="s">
        <v>40</v>
      </c>
      <c r="M158" s="6" t="s">
        <v>41</v>
      </c>
    </row>
    <row r="159" spans="1:13" x14ac:dyDescent="0.4">
      <c r="A159" s="4">
        <v>2010</v>
      </c>
      <c r="B159" s="7">
        <v>285</v>
      </c>
      <c r="C159" s="7">
        <v>790</v>
      </c>
      <c r="D159" s="7">
        <v>1025</v>
      </c>
      <c r="E159" s="7">
        <v>305</v>
      </c>
      <c r="F159" s="7">
        <v>320</v>
      </c>
      <c r="G159" s="7">
        <v>200</v>
      </c>
      <c r="H159" s="7">
        <v>670</v>
      </c>
      <c r="I159" s="7">
        <v>3600</v>
      </c>
      <c r="J159" s="7">
        <v>66665</v>
      </c>
      <c r="K159" s="7">
        <v>54765</v>
      </c>
      <c r="L159" s="7">
        <v>81800</v>
      </c>
      <c r="M159" s="7">
        <v>69900</v>
      </c>
    </row>
    <row r="160" spans="1:13" x14ac:dyDescent="0.4">
      <c r="A160" s="4">
        <v>2011</v>
      </c>
      <c r="B160" s="7">
        <v>275</v>
      </c>
      <c r="C160" s="7">
        <v>815</v>
      </c>
      <c r="D160" s="7">
        <v>1040</v>
      </c>
      <c r="E160" s="7">
        <v>290</v>
      </c>
      <c r="F160" s="7">
        <v>315</v>
      </c>
      <c r="G160" s="7">
        <v>195</v>
      </c>
      <c r="H160" s="7">
        <v>670</v>
      </c>
      <c r="I160" s="7">
        <v>3600</v>
      </c>
      <c r="J160" s="7">
        <v>65815</v>
      </c>
      <c r="K160" s="7">
        <v>54165</v>
      </c>
      <c r="L160" s="7">
        <v>80685</v>
      </c>
      <c r="M160" s="7">
        <v>69040</v>
      </c>
    </row>
    <row r="161" spans="1:13" x14ac:dyDescent="0.4">
      <c r="A161" s="4">
        <v>2012</v>
      </c>
      <c r="B161" s="7">
        <v>270</v>
      </c>
      <c r="C161" s="7">
        <v>850</v>
      </c>
      <c r="D161" s="7">
        <v>1040</v>
      </c>
      <c r="E161" s="7">
        <v>305</v>
      </c>
      <c r="F161" s="7">
        <v>300</v>
      </c>
      <c r="G161" s="7">
        <v>205</v>
      </c>
      <c r="H161" s="7">
        <v>675</v>
      </c>
      <c r="I161" s="7">
        <v>3645</v>
      </c>
      <c r="J161" s="7">
        <v>65655</v>
      </c>
      <c r="K161" s="7">
        <v>54085</v>
      </c>
      <c r="L161" s="7">
        <v>80385</v>
      </c>
      <c r="M161" s="7">
        <v>68815</v>
      </c>
    </row>
    <row r="162" spans="1:13" x14ac:dyDescent="0.4">
      <c r="A162" s="4">
        <v>2013</v>
      </c>
      <c r="B162" s="7">
        <v>265</v>
      </c>
      <c r="C162" s="7">
        <v>835</v>
      </c>
      <c r="D162" s="7">
        <v>990</v>
      </c>
      <c r="E162" s="7">
        <v>300</v>
      </c>
      <c r="F162" s="7">
        <v>300</v>
      </c>
      <c r="G162" s="7">
        <v>195</v>
      </c>
      <c r="H162" s="7">
        <v>680</v>
      </c>
      <c r="I162" s="7">
        <v>3560</v>
      </c>
      <c r="J162" s="7">
        <v>63310</v>
      </c>
      <c r="K162" s="7">
        <v>52125</v>
      </c>
      <c r="L162" s="7">
        <v>77490</v>
      </c>
      <c r="M162" s="7">
        <v>66305</v>
      </c>
    </row>
    <row r="163" spans="1:13" x14ac:dyDescent="0.4">
      <c r="A163" s="4">
        <v>2014</v>
      </c>
      <c r="B163" s="7">
        <v>255</v>
      </c>
      <c r="C163" s="7">
        <v>850</v>
      </c>
      <c r="D163" s="7">
        <v>990</v>
      </c>
      <c r="E163" s="7">
        <v>315</v>
      </c>
      <c r="F163" s="7">
        <v>305</v>
      </c>
      <c r="G163" s="7">
        <v>200</v>
      </c>
      <c r="H163" s="7">
        <v>685</v>
      </c>
      <c r="I163" s="7">
        <v>3600</v>
      </c>
      <c r="J163" s="7">
        <v>63830</v>
      </c>
      <c r="K163" s="7">
        <v>52615</v>
      </c>
      <c r="L163" s="7">
        <v>78105</v>
      </c>
      <c r="M163" s="7">
        <v>66890</v>
      </c>
    </row>
    <row r="164" spans="1:13" x14ac:dyDescent="0.4">
      <c r="A164" s="4">
        <v>2015</v>
      </c>
      <c r="B164" s="7">
        <v>260</v>
      </c>
      <c r="C164" s="7">
        <v>860</v>
      </c>
      <c r="D164" s="7">
        <v>1010</v>
      </c>
      <c r="E164" s="7">
        <v>300</v>
      </c>
      <c r="F164" s="7">
        <v>300</v>
      </c>
      <c r="G164" s="7">
        <v>205</v>
      </c>
      <c r="H164" s="7">
        <v>710</v>
      </c>
      <c r="I164" s="7">
        <v>3640</v>
      </c>
      <c r="J164" s="7">
        <v>63680</v>
      </c>
      <c r="K164" s="7">
        <v>52545</v>
      </c>
      <c r="L164" s="7">
        <v>78015</v>
      </c>
      <c r="M164" s="7">
        <v>66885</v>
      </c>
    </row>
    <row r="165" spans="1:13" x14ac:dyDescent="0.4">
      <c r="A165" s="4">
        <v>2016</v>
      </c>
      <c r="B165" s="7">
        <v>270</v>
      </c>
      <c r="C165" s="7">
        <v>945</v>
      </c>
      <c r="D165" s="7">
        <v>1065</v>
      </c>
      <c r="E165" s="7">
        <v>310</v>
      </c>
      <c r="F165" s="7">
        <v>295</v>
      </c>
      <c r="G165" s="7">
        <v>205</v>
      </c>
      <c r="H165" s="7">
        <v>740</v>
      </c>
      <c r="I165" s="7">
        <v>3830</v>
      </c>
      <c r="J165" s="7">
        <v>70235</v>
      </c>
      <c r="K165" s="7">
        <v>54720</v>
      </c>
      <c r="L165" s="7">
        <v>85220</v>
      </c>
      <c r="M165" s="7">
        <v>69705</v>
      </c>
    </row>
    <row r="166" spans="1:13" x14ac:dyDescent="0.4">
      <c r="A166" s="4">
        <v>2017</v>
      </c>
      <c r="B166" s="7">
        <v>280</v>
      </c>
      <c r="C166" s="7">
        <v>955</v>
      </c>
      <c r="D166" s="7">
        <v>1070</v>
      </c>
      <c r="E166" s="7">
        <v>330</v>
      </c>
      <c r="F166" s="7">
        <v>305</v>
      </c>
      <c r="G166" s="7">
        <v>205</v>
      </c>
      <c r="H166" s="7">
        <v>750</v>
      </c>
      <c r="I166" s="7">
        <v>3890</v>
      </c>
      <c r="J166" s="7">
        <v>72850</v>
      </c>
      <c r="K166" s="7">
        <v>56090</v>
      </c>
      <c r="L166" s="7">
        <v>88135</v>
      </c>
      <c r="M166" s="7">
        <v>71375</v>
      </c>
    </row>
    <row r="167" spans="1:13" x14ac:dyDescent="0.4">
      <c r="A167" s="4">
        <v>2018</v>
      </c>
      <c r="B167" s="7">
        <v>285</v>
      </c>
      <c r="C167" s="7">
        <v>940</v>
      </c>
      <c r="D167" s="7">
        <v>1110</v>
      </c>
      <c r="E167" s="7">
        <v>320</v>
      </c>
      <c r="F167" s="7">
        <v>300</v>
      </c>
      <c r="G167" s="7">
        <v>205</v>
      </c>
      <c r="H167" s="7">
        <v>765</v>
      </c>
      <c r="I167" s="7">
        <v>3925</v>
      </c>
      <c r="J167" s="7">
        <v>72960</v>
      </c>
      <c r="K167" s="7">
        <v>57110</v>
      </c>
      <c r="L167" s="7">
        <v>88500</v>
      </c>
      <c r="M167" s="7">
        <v>72645</v>
      </c>
    </row>
    <row r="168" spans="1:13" x14ac:dyDescent="0.4">
      <c r="A168" s="4">
        <v>2019</v>
      </c>
      <c r="B168" s="7">
        <v>290</v>
      </c>
      <c r="C168" s="7">
        <v>955</v>
      </c>
      <c r="D168" s="7">
        <v>1130</v>
      </c>
      <c r="E168" s="7">
        <v>325</v>
      </c>
      <c r="F168" s="7">
        <v>295</v>
      </c>
      <c r="G168" s="7">
        <v>210</v>
      </c>
      <c r="H168" s="7">
        <v>760</v>
      </c>
      <c r="I168" s="7">
        <v>3965</v>
      </c>
      <c r="J168" s="7">
        <v>72600</v>
      </c>
      <c r="K168" s="7">
        <v>57700</v>
      </c>
      <c r="L168" s="7">
        <v>88240</v>
      </c>
      <c r="M168" s="7">
        <v>73335</v>
      </c>
    </row>
    <row r="169" spans="1:13" x14ac:dyDescent="0.4">
      <c r="A169" s="4">
        <v>2020</v>
      </c>
      <c r="B169" s="7">
        <v>290</v>
      </c>
      <c r="C169" s="7">
        <v>935</v>
      </c>
      <c r="D169" s="7">
        <v>1140</v>
      </c>
      <c r="E169" s="7">
        <v>330</v>
      </c>
      <c r="F169" s="7">
        <v>290</v>
      </c>
      <c r="G169" s="7">
        <v>195</v>
      </c>
      <c r="H169" s="7">
        <v>740</v>
      </c>
      <c r="I169" s="7">
        <v>3915</v>
      </c>
      <c r="J169" s="7">
        <v>72215</v>
      </c>
      <c r="K169" s="7">
        <v>57990</v>
      </c>
      <c r="L169" s="7">
        <v>87925</v>
      </c>
      <c r="M169" s="7">
        <v>73700</v>
      </c>
    </row>
    <row r="170" spans="1:13" x14ac:dyDescent="0.4">
      <c r="A170" s="4">
        <v>2021</v>
      </c>
      <c r="B170" s="7">
        <v>285</v>
      </c>
      <c r="C170" s="7">
        <v>925</v>
      </c>
      <c r="D170" s="7">
        <v>1135</v>
      </c>
      <c r="E170" s="7">
        <v>320</v>
      </c>
      <c r="F170" s="7">
        <v>295</v>
      </c>
      <c r="G170" s="7">
        <v>200</v>
      </c>
      <c r="H170" s="7">
        <v>750</v>
      </c>
      <c r="I170" s="7">
        <v>3905</v>
      </c>
      <c r="J170" s="7">
        <v>71260</v>
      </c>
      <c r="K170" s="7">
        <v>58025</v>
      </c>
      <c r="L170" s="7">
        <v>86930</v>
      </c>
      <c r="M170" s="7">
        <v>73695</v>
      </c>
    </row>
    <row r="171" spans="1:13" x14ac:dyDescent="0.4">
      <c r="A171" s="4">
        <v>2022</v>
      </c>
      <c r="B171" s="7">
        <v>295</v>
      </c>
      <c r="C171" s="7">
        <v>945</v>
      </c>
      <c r="D171" s="7">
        <v>1155</v>
      </c>
      <c r="E171" s="7">
        <v>315</v>
      </c>
      <c r="F171" s="7">
        <v>290</v>
      </c>
      <c r="G171" s="7">
        <v>190</v>
      </c>
      <c r="H171" s="7">
        <v>760</v>
      </c>
      <c r="I171" s="7">
        <v>3955</v>
      </c>
      <c r="J171" s="7">
        <v>71960</v>
      </c>
      <c r="K171" s="7">
        <v>58615</v>
      </c>
      <c r="L171" s="7">
        <v>87645</v>
      </c>
      <c r="M171" s="7">
        <v>74295</v>
      </c>
    </row>
    <row r="172" spans="1:13" x14ac:dyDescent="0.4">
      <c r="A172" s="4">
        <v>2023</v>
      </c>
      <c r="B172" s="7">
        <v>290</v>
      </c>
      <c r="C172" s="7">
        <v>965</v>
      </c>
      <c r="D172" s="7">
        <v>1145</v>
      </c>
      <c r="E172" s="7">
        <v>315</v>
      </c>
      <c r="F172" s="7">
        <v>285</v>
      </c>
      <c r="G172" s="7">
        <v>190</v>
      </c>
      <c r="H172" s="7">
        <v>755</v>
      </c>
      <c r="I172" s="7">
        <v>3950</v>
      </c>
      <c r="J172" s="7">
        <v>72535</v>
      </c>
      <c r="K172" s="7">
        <v>59220</v>
      </c>
      <c r="L172" s="7">
        <v>88375</v>
      </c>
      <c r="M172" s="7">
        <v>75060</v>
      </c>
    </row>
    <row r="173" spans="1:13" x14ac:dyDescent="0.4">
      <c r="A173" s="4">
        <v>2024</v>
      </c>
      <c r="B173" s="7">
        <v>300</v>
      </c>
      <c r="C173" s="7">
        <v>990</v>
      </c>
      <c r="D173" s="7">
        <v>1145</v>
      </c>
      <c r="E173" s="7">
        <v>300</v>
      </c>
      <c r="F173" s="7">
        <v>295</v>
      </c>
      <c r="G173" s="7">
        <v>185</v>
      </c>
      <c r="H173" s="7">
        <v>745</v>
      </c>
      <c r="I173" s="7">
        <v>3960</v>
      </c>
      <c r="J173" s="7">
        <v>72840</v>
      </c>
      <c r="K173" s="7">
        <v>59520</v>
      </c>
      <c r="L173" s="7">
        <v>88740</v>
      </c>
      <c r="M173" s="7">
        <v>75425</v>
      </c>
    </row>
    <row r="174" spans="1:13" x14ac:dyDescent="0.4">
      <c r="A174" s="4">
        <v>2025</v>
      </c>
      <c r="B174" s="7">
        <v>290</v>
      </c>
      <c r="C174" s="7">
        <v>860</v>
      </c>
      <c r="D174" s="7">
        <v>1005</v>
      </c>
      <c r="E174" s="7">
        <v>275</v>
      </c>
      <c r="F174" s="7">
        <v>290</v>
      </c>
      <c r="G174" s="7">
        <v>180</v>
      </c>
      <c r="H174" s="7">
        <v>670</v>
      </c>
      <c r="I174" s="7">
        <v>3570</v>
      </c>
      <c r="J174" s="7">
        <v>68375</v>
      </c>
      <c r="K174" s="7">
        <v>54970</v>
      </c>
      <c r="L174" s="7">
        <v>84000</v>
      </c>
      <c r="M174" s="7">
        <v>70595</v>
      </c>
    </row>
    <row r="176" spans="1:13" x14ac:dyDescent="0.4">
      <c r="A176" s="3" t="s">
        <v>42</v>
      </c>
    </row>
    <row r="177" spans="1:13" x14ac:dyDescent="0.4">
      <c r="A177" s="3" t="s">
        <v>43</v>
      </c>
    </row>
    <row r="178" spans="1:13" x14ac:dyDescent="0.4">
      <c r="A178" s="3" t="s">
        <v>44</v>
      </c>
    </row>
    <row r="181" spans="1:13" x14ac:dyDescent="0.4">
      <c r="A181" s="2" t="s">
        <v>24</v>
      </c>
    </row>
    <row r="182" spans="1:13" x14ac:dyDescent="0.4">
      <c r="A182" s="3" t="s">
        <v>46</v>
      </c>
    </row>
    <row r="184" spans="1:13" x14ac:dyDescent="0.4">
      <c r="A184" s="4" t="s">
        <v>25</v>
      </c>
      <c r="B184" s="4" t="s">
        <v>26</v>
      </c>
    </row>
    <row r="185" spans="1:13" x14ac:dyDescent="0.4">
      <c r="A185" s="4" t="s">
        <v>27</v>
      </c>
      <c r="B185" s="4" t="s">
        <v>26</v>
      </c>
    </row>
    <row r="186" spans="1:13" x14ac:dyDescent="0.4">
      <c r="A186" s="4" t="s">
        <v>28</v>
      </c>
      <c r="B186" s="4" t="s">
        <v>51</v>
      </c>
    </row>
    <row r="188" spans="1:13" ht="78" x14ac:dyDescent="0.4">
      <c r="A188" s="5" t="s">
        <v>30</v>
      </c>
      <c r="B188" s="6" t="s">
        <v>31</v>
      </c>
      <c r="C188" s="6" t="s">
        <v>32</v>
      </c>
      <c r="D188" s="6" t="s">
        <v>33</v>
      </c>
      <c r="E188" s="6" t="s">
        <v>34</v>
      </c>
      <c r="F188" s="6" t="s">
        <v>35</v>
      </c>
      <c r="G188" s="6" t="s">
        <v>36</v>
      </c>
      <c r="H188" s="6" t="s">
        <v>37</v>
      </c>
      <c r="I188" s="6" t="s">
        <v>47</v>
      </c>
      <c r="J188" s="6" t="s">
        <v>38</v>
      </c>
      <c r="K188" s="6" t="s">
        <v>39</v>
      </c>
      <c r="L188" s="6" t="s">
        <v>40</v>
      </c>
      <c r="M188" s="6" t="s">
        <v>41</v>
      </c>
    </row>
    <row r="189" spans="1:13" x14ac:dyDescent="0.4">
      <c r="A189" s="4">
        <v>2010</v>
      </c>
      <c r="B189" s="7">
        <v>35</v>
      </c>
      <c r="C189" s="7">
        <v>10</v>
      </c>
      <c r="D189" s="7">
        <v>90</v>
      </c>
      <c r="E189" s="7">
        <v>20</v>
      </c>
      <c r="F189" s="7">
        <v>30</v>
      </c>
      <c r="G189" s="7">
        <v>40</v>
      </c>
      <c r="H189" s="7">
        <v>55</v>
      </c>
      <c r="I189" s="7">
        <v>280</v>
      </c>
      <c r="J189" s="7">
        <v>4560</v>
      </c>
      <c r="K189" s="7">
        <v>3970</v>
      </c>
      <c r="L189" s="7">
        <v>5260</v>
      </c>
      <c r="M189" s="7">
        <v>4670</v>
      </c>
    </row>
    <row r="190" spans="1:13" x14ac:dyDescent="0.4">
      <c r="A190" s="4">
        <v>2011</v>
      </c>
      <c r="B190" s="7">
        <v>35</v>
      </c>
      <c r="C190" s="7">
        <v>15</v>
      </c>
      <c r="D190" s="7">
        <v>120</v>
      </c>
      <c r="E190" s="7">
        <v>20</v>
      </c>
      <c r="F190" s="7">
        <v>30</v>
      </c>
      <c r="G190" s="7">
        <v>40</v>
      </c>
      <c r="H190" s="7">
        <v>60</v>
      </c>
      <c r="I190" s="7">
        <v>320</v>
      </c>
      <c r="J190" s="7">
        <v>5310</v>
      </c>
      <c r="K190" s="7">
        <v>4565</v>
      </c>
      <c r="L190" s="7">
        <v>6065</v>
      </c>
      <c r="M190" s="7">
        <v>5320</v>
      </c>
    </row>
    <row r="191" spans="1:13" x14ac:dyDescent="0.4">
      <c r="A191" s="4">
        <v>2012</v>
      </c>
      <c r="B191" s="7">
        <v>40</v>
      </c>
      <c r="C191" s="7">
        <v>20</v>
      </c>
      <c r="D191" s="7">
        <v>180</v>
      </c>
      <c r="E191" s="7">
        <v>25</v>
      </c>
      <c r="F191" s="7">
        <v>35</v>
      </c>
      <c r="G191" s="7">
        <v>70</v>
      </c>
      <c r="H191" s="7">
        <v>115</v>
      </c>
      <c r="I191" s="7">
        <v>490</v>
      </c>
      <c r="J191" s="7">
        <v>7475</v>
      </c>
      <c r="K191" s="7">
        <v>6640</v>
      </c>
      <c r="L191" s="7">
        <v>8280</v>
      </c>
      <c r="M191" s="7">
        <v>7450</v>
      </c>
    </row>
    <row r="192" spans="1:13" x14ac:dyDescent="0.4">
      <c r="A192" s="4">
        <v>2013</v>
      </c>
      <c r="B192" s="7">
        <v>45</v>
      </c>
      <c r="C192" s="7">
        <v>35</v>
      </c>
      <c r="D192" s="7">
        <v>210</v>
      </c>
      <c r="E192" s="7">
        <v>35</v>
      </c>
      <c r="F192" s="7">
        <v>35</v>
      </c>
      <c r="G192" s="7">
        <v>70</v>
      </c>
      <c r="H192" s="7">
        <v>145</v>
      </c>
      <c r="I192" s="7">
        <v>585</v>
      </c>
      <c r="J192" s="7">
        <v>8915</v>
      </c>
      <c r="K192" s="7">
        <v>8020</v>
      </c>
      <c r="L192" s="7">
        <v>9745</v>
      </c>
      <c r="M192" s="7">
        <v>8850</v>
      </c>
    </row>
    <row r="193" spans="1:13" x14ac:dyDescent="0.4">
      <c r="A193" s="4">
        <v>2014</v>
      </c>
      <c r="B193" s="7">
        <v>50</v>
      </c>
      <c r="C193" s="7">
        <v>50</v>
      </c>
      <c r="D193" s="7">
        <v>215</v>
      </c>
      <c r="E193" s="7">
        <v>40</v>
      </c>
      <c r="F193" s="7">
        <v>40</v>
      </c>
      <c r="G193" s="7">
        <v>70</v>
      </c>
      <c r="H193" s="7">
        <v>165</v>
      </c>
      <c r="I193" s="7">
        <v>635</v>
      </c>
      <c r="J193" s="7">
        <v>10010</v>
      </c>
      <c r="K193" s="7">
        <v>9055</v>
      </c>
      <c r="L193" s="7">
        <v>10870</v>
      </c>
      <c r="M193" s="7">
        <v>9915</v>
      </c>
    </row>
    <row r="194" spans="1:13" x14ac:dyDescent="0.4">
      <c r="A194" s="4">
        <v>2015</v>
      </c>
      <c r="B194" s="7">
        <v>55</v>
      </c>
      <c r="C194" s="7">
        <v>50</v>
      </c>
      <c r="D194" s="7">
        <v>245</v>
      </c>
      <c r="E194" s="7">
        <v>40</v>
      </c>
      <c r="F194" s="7">
        <v>45</v>
      </c>
      <c r="G194" s="7">
        <v>75</v>
      </c>
      <c r="H194" s="7">
        <v>185</v>
      </c>
      <c r="I194" s="7">
        <v>695</v>
      </c>
      <c r="J194" s="7">
        <v>11085</v>
      </c>
      <c r="K194" s="7">
        <v>10100</v>
      </c>
      <c r="L194" s="7">
        <v>11995</v>
      </c>
      <c r="M194" s="7">
        <v>11010</v>
      </c>
    </row>
    <row r="195" spans="1:13" x14ac:dyDescent="0.4">
      <c r="A195" s="4">
        <v>2016</v>
      </c>
      <c r="B195" s="7">
        <v>55</v>
      </c>
      <c r="C195" s="7">
        <v>45</v>
      </c>
      <c r="D195" s="7">
        <v>240</v>
      </c>
      <c r="E195" s="7">
        <v>45</v>
      </c>
      <c r="F195" s="7">
        <v>45</v>
      </c>
      <c r="G195" s="7">
        <v>75</v>
      </c>
      <c r="H195" s="7">
        <v>190</v>
      </c>
      <c r="I195" s="7">
        <v>695</v>
      </c>
      <c r="J195" s="7">
        <v>11385</v>
      </c>
      <c r="K195" s="7">
        <v>10405</v>
      </c>
      <c r="L195" s="7">
        <v>12270</v>
      </c>
      <c r="M195" s="7">
        <v>11290</v>
      </c>
    </row>
    <row r="196" spans="1:13" x14ac:dyDescent="0.4">
      <c r="A196" s="4">
        <v>2017</v>
      </c>
      <c r="B196" s="7">
        <v>55</v>
      </c>
      <c r="C196" s="7">
        <v>45</v>
      </c>
      <c r="D196" s="7">
        <v>255</v>
      </c>
      <c r="E196" s="7">
        <v>45</v>
      </c>
      <c r="F196" s="7">
        <v>45</v>
      </c>
      <c r="G196" s="7">
        <v>75</v>
      </c>
      <c r="H196" s="7">
        <v>200</v>
      </c>
      <c r="I196" s="7">
        <v>715</v>
      </c>
      <c r="J196" s="7">
        <v>11635</v>
      </c>
      <c r="K196" s="7">
        <v>10635</v>
      </c>
      <c r="L196" s="7">
        <v>12530</v>
      </c>
      <c r="M196" s="7">
        <v>11530</v>
      </c>
    </row>
    <row r="197" spans="1:13" x14ac:dyDescent="0.4">
      <c r="A197" s="4">
        <v>2018</v>
      </c>
      <c r="B197" s="7">
        <v>50</v>
      </c>
      <c r="C197" s="7">
        <v>45</v>
      </c>
      <c r="D197" s="7">
        <v>250</v>
      </c>
      <c r="E197" s="7">
        <v>50</v>
      </c>
      <c r="F197" s="7">
        <v>45</v>
      </c>
      <c r="G197" s="7">
        <v>75</v>
      </c>
      <c r="H197" s="7">
        <v>195</v>
      </c>
      <c r="I197" s="7">
        <v>710</v>
      </c>
      <c r="J197" s="7">
        <v>11690</v>
      </c>
      <c r="K197" s="7">
        <v>10620</v>
      </c>
      <c r="L197" s="7">
        <v>12750</v>
      </c>
      <c r="M197" s="7">
        <v>11680</v>
      </c>
    </row>
    <row r="198" spans="1:13" x14ac:dyDescent="0.4">
      <c r="A198" s="4">
        <v>2019</v>
      </c>
      <c r="B198" s="7">
        <v>50</v>
      </c>
      <c r="C198" s="7">
        <v>45</v>
      </c>
      <c r="D198" s="7">
        <v>245</v>
      </c>
      <c r="E198" s="7">
        <v>50</v>
      </c>
      <c r="F198" s="7">
        <v>50</v>
      </c>
      <c r="G198" s="7">
        <v>75</v>
      </c>
      <c r="H198" s="7">
        <v>200</v>
      </c>
      <c r="I198" s="7">
        <v>710</v>
      </c>
      <c r="J198" s="7">
        <v>11640</v>
      </c>
      <c r="K198" s="7">
        <v>10605</v>
      </c>
      <c r="L198" s="7">
        <v>12760</v>
      </c>
      <c r="M198" s="7">
        <v>11720</v>
      </c>
    </row>
    <row r="199" spans="1:13" x14ac:dyDescent="0.4">
      <c r="A199" s="4">
        <v>2020</v>
      </c>
      <c r="B199" s="7">
        <v>50</v>
      </c>
      <c r="C199" s="7">
        <v>45</v>
      </c>
      <c r="D199" s="7">
        <v>250</v>
      </c>
      <c r="E199" s="7">
        <v>50</v>
      </c>
      <c r="F199" s="7">
        <v>50</v>
      </c>
      <c r="G199" s="7">
        <v>70</v>
      </c>
      <c r="H199" s="7">
        <v>200</v>
      </c>
      <c r="I199" s="7">
        <v>710</v>
      </c>
      <c r="J199" s="7">
        <v>11575</v>
      </c>
      <c r="K199" s="7">
        <v>10530</v>
      </c>
      <c r="L199" s="7">
        <v>12705</v>
      </c>
      <c r="M199" s="7">
        <v>11665</v>
      </c>
    </row>
    <row r="200" spans="1:13" x14ac:dyDescent="0.4">
      <c r="A200" s="4">
        <v>2021</v>
      </c>
      <c r="B200" s="7">
        <v>50</v>
      </c>
      <c r="C200" s="7">
        <v>40</v>
      </c>
      <c r="D200" s="7">
        <v>245</v>
      </c>
      <c r="E200" s="7">
        <v>50</v>
      </c>
      <c r="F200" s="7">
        <v>55</v>
      </c>
      <c r="G200" s="7">
        <v>65</v>
      </c>
      <c r="H200" s="7">
        <v>185</v>
      </c>
      <c r="I200" s="7">
        <v>690</v>
      </c>
      <c r="J200" s="7">
        <v>11395</v>
      </c>
      <c r="K200" s="7">
        <v>10375</v>
      </c>
      <c r="L200" s="7">
        <v>12515</v>
      </c>
      <c r="M200" s="7">
        <v>11495</v>
      </c>
    </row>
    <row r="201" spans="1:13" x14ac:dyDescent="0.4">
      <c r="A201" s="4">
        <v>2022</v>
      </c>
      <c r="B201" s="7">
        <v>50</v>
      </c>
      <c r="C201" s="7">
        <v>45</v>
      </c>
      <c r="D201" s="7">
        <v>240</v>
      </c>
      <c r="E201" s="7">
        <v>45</v>
      </c>
      <c r="F201" s="7">
        <v>55</v>
      </c>
      <c r="G201" s="7">
        <v>60</v>
      </c>
      <c r="H201" s="7">
        <v>190</v>
      </c>
      <c r="I201" s="7">
        <v>685</v>
      </c>
      <c r="J201" s="7">
        <v>11320</v>
      </c>
      <c r="K201" s="7">
        <v>10320</v>
      </c>
      <c r="L201" s="7">
        <v>12450</v>
      </c>
      <c r="M201" s="7">
        <v>11450</v>
      </c>
    </row>
    <row r="202" spans="1:13" x14ac:dyDescent="0.4">
      <c r="A202" s="4">
        <v>2023</v>
      </c>
      <c r="B202" s="7">
        <v>50</v>
      </c>
      <c r="C202" s="7">
        <v>40</v>
      </c>
      <c r="D202" s="7">
        <v>250</v>
      </c>
      <c r="E202" s="7">
        <v>45</v>
      </c>
      <c r="F202" s="7">
        <v>50</v>
      </c>
      <c r="G202" s="7">
        <v>55</v>
      </c>
      <c r="H202" s="7">
        <v>185</v>
      </c>
      <c r="I202" s="7">
        <v>680</v>
      </c>
      <c r="J202" s="7">
        <v>11345</v>
      </c>
      <c r="K202" s="7">
        <v>10355</v>
      </c>
      <c r="L202" s="7">
        <v>12485</v>
      </c>
      <c r="M202" s="7">
        <v>11495</v>
      </c>
    </row>
    <row r="203" spans="1:13" x14ac:dyDescent="0.4">
      <c r="A203" s="4">
        <v>2024</v>
      </c>
      <c r="B203" s="7">
        <v>50</v>
      </c>
      <c r="C203" s="7">
        <v>40</v>
      </c>
      <c r="D203" s="7">
        <v>255</v>
      </c>
      <c r="E203" s="7">
        <v>45</v>
      </c>
      <c r="F203" s="7">
        <v>55</v>
      </c>
      <c r="G203" s="7">
        <v>55</v>
      </c>
      <c r="H203" s="7">
        <v>185</v>
      </c>
      <c r="I203" s="7">
        <v>680</v>
      </c>
      <c r="J203" s="7">
        <v>11555</v>
      </c>
      <c r="K203" s="7">
        <v>10530</v>
      </c>
      <c r="L203" s="7">
        <v>12705</v>
      </c>
      <c r="M203" s="7">
        <v>11675</v>
      </c>
    </row>
    <row r="204" spans="1:13" x14ac:dyDescent="0.4">
      <c r="A204" s="4">
        <v>2025</v>
      </c>
      <c r="B204" s="7">
        <v>55</v>
      </c>
      <c r="C204" s="7">
        <v>35</v>
      </c>
      <c r="D204" s="7">
        <v>250</v>
      </c>
      <c r="E204" s="7">
        <v>50</v>
      </c>
      <c r="F204" s="7">
        <v>55</v>
      </c>
      <c r="G204" s="7">
        <v>45</v>
      </c>
      <c r="H204" s="7">
        <v>190</v>
      </c>
      <c r="I204" s="7">
        <v>680</v>
      </c>
      <c r="J204" s="7">
        <v>11475</v>
      </c>
      <c r="K204" s="7">
        <v>10475</v>
      </c>
      <c r="L204" s="7">
        <v>12630</v>
      </c>
      <c r="M204" s="7">
        <v>11630</v>
      </c>
    </row>
    <row r="206" spans="1:13" x14ac:dyDescent="0.4">
      <c r="A206" s="3" t="s">
        <v>42</v>
      </c>
    </row>
    <row r="207" spans="1:13" x14ac:dyDescent="0.4">
      <c r="A207" s="3" t="s">
        <v>43</v>
      </c>
    </row>
    <row r="208" spans="1:13" x14ac:dyDescent="0.4">
      <c r="A208" s="3" t="s">
        <v>44</v>
      </c>
    </row>
    <row r="211" spans="1:13" x14ac:dyDescent="0.4">
      <c r="A211" s="2" t="s">
        <v>24</v>
      </c>
    </row>
    <row r="212" spans="1:13" x14ac:dyDescent="0.4">
      <c r="A212" s="3" t="s">
        <v>46</v>
      </c>
    </row>
    <row r="214" spans="1:13" x14ac:dyDescent="0.4">
      <c r="A214" s="4" t="s">
        <v>25</v>
      </c>
      <c r="B214" s="4" t="s">
        <v>26</v>
      </c>
    </row>
    <row r="215" spans="1:13" x14ac:dyDescent="0.4">
      <c r="A215" s="4" t="s">
        <v>27</v>
      </c>
      <c r="B215" s="4" t="s">
        <v>26</v>
      </c>
    </row>
    <row r="216" spans="1:13" x14ac:dyDescent="0.4">
      <c r="A216" s="4" t="s">
        <v>28</v>
      </c>
      <c r="B216" s="4" t="s">
        <v>52</v>
      </c>
    </row>
    <row r="218" spans="1:13" ht="78" x14ac:dyDescent="0.4">
      <c r="A218" s="5" t="s">
        <v>30</v>
      </c>
      <c r="B218" s="6" t="s">
        <v>31</v>
      </c>
      <c r="C218" s="6" t="s">
        <v>32</v>
      </c>
      <c r="D218" s="6" t="s">
        <v>33</v>
      </c>
      <c r="E218" s="6" t="s">
        <v>34</v>
      </c>
      <c r="F218" s="6" t="s">
        <v>35</v>
      </c>
      <c r="G218" s="6" t="s">
        <v>36</v>
      </c>
      <c r="H218" s="6" t="s">
        <v>37</v>
      </c>
      <c r="I218" s="6" t="s">
        <v>47</v>
      </c>
      <c r="J218" s="6" t="s">
        <v>38</v>
      </c>
      <c r="K218" s="6" t="s">
        <v>39</v>
      </c>
      <c r="L218" s="6" t="s">
        <v>40</v>
      </c>
      <c r="M218" s="6" t="s">
        <v>41</v>
      </c>
    </row>
    <row r="219" spans="1:13" x14ac:dyDescent="0.4">
      <c r="A219" s="4">
        <v>2010</v>
      </c>
      <c r="B219" s="7">
        <v>0</v>
      </c>
      <c r="C219" s="7">
        <v>0</v>
      </c>
      <c r="D219" s="7">
        <v>15</v>
      </c>
      <c r="E219" s="7">
        <v>0</v>
      </c>
      <c r="F219" s="7">
        <v>0</v>
      </c>
      <c r="G219" s="7">
        <v>0</v>
      </c>
      <c r="H219" s="7">
        <v>0</v>
      </c>
      <c r="I219" s="7">
        <v>20</v>
      </c>
      <c r="J219" s="7">
        <v>300</v>
      </c>
      <c r="K219" s="7">
        <v>205</v>
      </c>
      <c r="L219" s="7">
        <v>395</v>
      </c>
      <c r="M219" s="7">
        <v>300</v>
      </c>
    </row>
    <row r="220" spans="1:13" x14ac:dyDescent="0.4">
      <c r="A220" s="4">
        <v>2011</v>
      </c>
      <c r="B220" s="7">
        <v>0</v>
      </c>
      <c r="C220" s="7">
        <v>0</v>
      </c>
      <c r="D220" s="7">
        <v>10</v>
      </c>
      <c r="E220" s="7">
        <v>0</v>
      </c>
      <c r="F220" s="7">
        <v>0</v>
      </c>
      <c r="G220" s="7">
        <v>0</v>
      </c>
      <c r="H220" s="7">
        <v>0</v>
      </c>
      <c r="I220" s="7">
        <v>15</v>
      </c>
      <c r="J220" s="7">
        <v>275</v>
      </c>
      <c r="K220" s="7">
        <v>190</v>
      </c>
      <c r="L220" s="7">
        <v>360</v>
      </c>
      <c r="M220" s="7">
        <v>275</v>
      </c>
    </row>
    <row r="221" spans="1:13" x14ac:dyDescent="0.4">
      <c r="A221" s="4">
        <v>2012</v>
      </c>
      <c r="B221" s="7">
        <v>0</v>
      </c>
      <c r="C221" s="7">
        <v>0</v>
      </c>
      <c r="D221" s="7">
        <v>5</v>
      </c>
      <c r="E221" s="7">
        <v>0</v>
      </c>
      <c r="F221" s="7">
        <v>0</v>
      </c>
      <c r="G221" s="7">
        <v>0</v>
      </c>
      <c r="H221" s="7">
        <v>0</v>
      </c>
      <c r="I221" s="7">
        <v>10</v>
      </c>
      <c r="J221" s="7">
        <v>265</v>
      </c>
      <c r="K221" s="7">
        <v>175</v>
      </c>
      <c r="L221" s="7">
        <v>345</v>
      </c>
      <c r="M221" s="7">
        <v>255</v>
      </c>
    </row>
    <row r="222" spans="1:13" x14ac:dyDescent="0.4">
      <c r="A222" s="4">
        <v>2013</v>
      </c>
      <c r="B222" s="7">
        <v>0</v>
      </c>
      <c r="C222" s="7">
        <v>0</v>
      </c>
      <c r="D222" s="7">
        <v>5</v>
      </c>
      <c r="E222" s="7">
        <v>0</v>
      </c>
      <c r="F222" s="7">
        <v>0</v>
      </c>
      <c r="G222" s="7">
        <v>0</v>
      </c>
      <c r="H222" s="7">
        <v>0</v>
      </c>
      <c r="I222" s="7">
        <v>10</v>
      </c>
      <c r="J222" s="7">
        <v>225</v>
      </c>
      <c r="K222" s="7">
        <v>150</v>
      </c>
      <c r="L222" s="7">
        <v>300</v>
      </c>
      <c r="M222" s="7">
        <v>225</v>
      </c>
    </row>
    <row r="223" spans="1:13" x14ac:dyDescent="0.4">
      <c r="A223" s="4">
        <v>2014</v>
      </c>
      <c r="B223" s="7">
        <v>0</v>
      </c>
      <c r="C223" s="7">
        <v>0</v>
      </c>
      <c r="D223" s="7">
        <v>5</v>
      </c>
      <c r="E223" s="7">
        <v>0</v>
      </c>
      <c r="F223" s="7">
        <v>0</v>
      </c>
      <c r="G223" s="7">
        <v>0</v>
      </c>
      <c r="H223" s="7">
        <v>0</v>
      </c>
      <c r="I223" s="7">
        <v>5</v>
      </c>
      <c r="J223" s="7">
        <v>205</v>
      </c>
      <c r="K223" s="7">
        <v>125</v>
      </c>
      <c r="L223" s="7">
        <v>290</v>
      </c>
      <c r="M223" s="7">
        <v>215</v>
      </c>
    </row>
    <row r="224" spans="1:13" x14ac:dyDescent="0.4">
      <c r="A224" s="4">
        <v>2015</v>
      </c>
      <c r="B224" s="7">
        <v>0</v>
      </c>
      <c r="C224" s="7">
        <v>0</v>
      </c>
      <c r="D224" s="7">
        <v>5</v>
      </c>
      <c r="E224" s="7">
        <v>0</v>
      </c>
      <c r="F224" s="7">
        <v>0</v>
      </c>
      <c r="G224" s="7">
        <v>0</v>
      </c>
      <c r="H224" s="7">
        <v>0</v>
      </c>
      <c r="I224" s="7">
        <v>5</v>
      </c>
      <c r="J224" s="7">
        <v>175</v>
      </c>
      <c r="K224" s="7">
        <v>110</v>
      </c>
      <c r="L224" s="7">
        <v>220</v>
      </c>
      <c r="M224" s="7">
        <v>155</v>
      </c>
    </row>
    <row r="225" spans="1:13" x14ac:dyDescent="0.4">
      <c r="A225" s="4">
        <v>2016</v>
      </c>
      <c r="B225" s="7">
        <v>0</v>
      </c>
      <c r="C225" s="7">
        <v>0</v>
      </c>
      <c r="D225" s="7">
        <v>5</v>
      </c>
      <c r="E225" s="7">
        <v>0</v>
      </c>
      <c r="F225" s="7">
        <v>0</v>
      </c>
      <c r="G225" s="7">
        <v>0</v>
      </c>
      <c r="H225" s="7">
        <v>0</v>
      </c>
      <c r="I225" s="7">
        <v>5</v>
      </c>
      <c r="J225" s="7">
        <v>165</v>
      </c>
      <c r="K225" s="7">
        <v>105</v>
      </c>
      <c r="L225" s="7">
        <v>210</v>
      </c>
      <c r="M225" s="7">
        <v>150</v>
      </c>
    </row>
    <row r="226" spans="1:13" x14ac:dyDescent="0.4">
      <c r="A226" s="4">
        <v>2017</v>
      </c>
      <c r="B226" s="7">
        <v>0</v>
      </c>
      <c r="C226" s="7">
        <v>0</v>
      </c>
      <c r="D226" s="7">
        <v>5</v>
      </c>
      <c r="E226" s="7">
        <v>0</v>
      </c>
      <c r="F226" s="7">
        <v>0</v>
      </c>
      <c r="G226" s="7">
        <v>0</v>
      </c>
      <c r="H226" s="7">
        <v>0</v>
      </c>
      <c r="I226" s="7">
        <v>5</v>
      </c>
      <c r="J226" s="7">
        <v>160</v>
      </c>
      <c r="K226" s="7">
        <v>105</v>
      </c>
      <c r="L226" s="7">
        <v>200</v>
      </c>
      <c r="M226" s="7">
        <v>145</v>
      </c>
    </row>
    <row r="227" spans="1:13" x14ac:dyDescent="0.4">
      <c r="A227" s="4">
        <v>2018</v>
      </c>
      <c r="B227" s="7">
        <v>0</v>
      </c>
      <c r="C227" s="7">
        <v>0</v>
      </c>
      <c r="D227" s="7">
        <v>5</v>
      </c>
      <c r="E227" s="7">
        <v>0</v>
      </c>
      <c r="F227" s="7">
        <v>0</v>
      </c>
      <c r="G227" s="7">
        <v>0</v>
      </c>
      <c r="H227" s="7">
        <v>0</v>
      </c>
      <c r="I227" s="7">
        <v>5</v>
      </c>
      <c r="J227" s="7">
        <v>145</v>
      </c>
      <c r="K227" s="7">
        <v>90</v>
      </c>
      <c r="L227" s="7">
        <v>205</v>
      </c>
      <c r="M227" s="7">
        <v>155</v>
      </c>
    </row>
    <row r="228" spans="1:13" x14ac:dyDescent="0.4">
      <c r="A228" s="4">
        <v>2019</v>
      </c>
      <c r="B228" s="7">
        <v>0</v>
      </c>
      <c r="C228" s="7">
        <v>0</v>
      </c>
      <c r="D228" s="7">
        <v>5</v>
      </c>
      <c r="E228" s="7">
        <v>0</v>
      </c>
      <c r="F228" s="7">
        <v>0</v>
      </c>
      <c r="G228" s="7">
        <v>0</v>
      </c>
      <c r="H228" s="7">
        <v>0</v>
      </c>
      <c r="I228" s="7">
        <v>5</v>
      </c>
      <c r="J228" s="7">
        <v>140</v>
      </c>
      <c r="K228" s="7">
        <v>90</v>
      </c>
      <c r="L228" s="7">
        <v>200</v>
      </c>
      <c r="M228" s="7">
        <v>155</v>
      </c>
    </row>
    <row r="229" spans="1:13" x14ac:dyDescent="0.4">
      <c r="A229" s="4">
        <v>2020</v>
      </c>
      <c r="B229" s="7">
        <v>0</v>
      </c>
      <c r="C229" s="7">
        <v>0</v>
      </c>
      <c r="D229" s="7">
        <v>5</v>
      </c>
      <c r="E229" s="7">
        <v>0</v>
      </c>
      <c r="F229" s="7">
        <v>0</v>
      </c>
      <c r="G229" s="7">
        <v>0</v>
      </c>
      <c r="H229" s="7">
        <v>0</v>
      </c>
      <c r="I229" s="7">
        <v>5</v>
      </c>
      <c r="J229" s="7">
        <v>135</v>
      </c>
      <c r="K229" s="7">
        <v>85</v>
      </c>
      <c r="L229" s="7">
        <v>190</v>
      </c>
      <c r="M229" s="7">
        <v>145</v>
      </c>
    </row>
    <row r="230" spans="1:13" x14ac:dyDescent="0.4">
      <c r="A230" s="4">
        <v>2021</v>
      </c>
      <c r="B230" s="7">
        <v>0</v>
      </c>
      <c r="C230" s="7">
        <v>0</v>
      </c>
      <c r="D230" s="7">
        <v>5</v>
      </c>
      <c r="E230" s="7">
        <v>0</v>
      </c>
      <c r="F230" s="7">
        <v>0</v>
      </c>
      <c r="G230" s="7">
        <v>0</v>
      </c>
      <c r="H230" s="7">
        <v>0</v>
      </c>
      <c r="I230" s="7">
        <v>5</v>
      </c>
      <c r="J230" s="7">
        <v>145</v>
      </c>
      <c r="K230" s="7">
        <v>90</v>
      </c>
      <c r="L230" s="7">
        <v>185</v>
      </c>
      <c r="M230" s="7">
        <v>130</v>
      </c>
    </row>
    <row r="231" spans="1:13" x14ac:dyDescent="0.4">
      <c r="A231" s="4">
        <v>2022</v>
      </c>
      <c r="B231" s="7">
        <v>0</v>
      </c>
      <c r="C231" s="7">
        <v>0</v>
      </c>
      <c r="D231" s="7">
        <v>5</v>
      </c>
      <c r="E231" s="7">
        <v>0</v>
      </c>
      <c r="F231" s="7">
        <v>0</v>
      </c>
      <c r="G231" s="7">
        <v>0</v>
      </c>
      <c r="H231" s="7">
        <v>0</v>
      </c>
      <c r="I231" s="7">
        <v>5</v>
      </c>
      <c r="J231" s="7">
        <v>140</v>
      </c>
      <c r="K231" s="7">
        <v>85</v>
      </c>
      <c r="L231" s="7">
        <v>180</v>
      </c>
      <c r="M231" s="7">
        <v>125</v>
      </c>
    </row>
    <row r="232" spans="1:13" x14ac:dyDescent="0.4">
      <c r="A232" s="4">
        <v>2023</v>
      </c>
      <c r="B232" s="7">
        <v>0</v>
      </c>
      <c r="C232" s="7">
        <v>0</v>
      </c>
      <c r="D232" s="7">
        <v>5</v>
      </c>
      <c r="E232" s="7">
        <v>0</v>
      </c>
      <c r="F232" s="7">
        <v>0</v>
      </c>
      <c r="G232" s="7">
        <v>0</v>
      </c>
      <c r="H232" s="7">
        <v>0</v>
      </c>
      <c r="I232" s="7">
        <v>5</v>
      </c>
      <c r="J232" s="7">
        <v>135</v>
      </c>
      <c r="K232" s="7">
        <v>80</v>
      </c>
      <c r="L232" s="7">
        <v>175</v>
      </c>
      <c r="M232" s="7">
        <v>120</v>
      </c>
    </row>
    <row r="233" spans="1:13" x14ac:dyDescent="0.4">
      <c r="A233" s="4">
        <v>2024</v>
      </c>
      <c r="B233" s="7">
        <v>0</v>
      </c>
      <c r="C233" s="7">
        <v>0</v>
      </c>
      <c r="D233" s="7">
        <v>5</v>
      </c>
      <c r="E233" s="7">
        <v>0</v>
      </c>
      <c r="F233" s="7">
        <v>0</v>
      </c>
      <c r="G233" s="7">
        <v>0</v>
      </c>
      <c r="H233" s="7">
        <v>0</v>
      </c>
      <c r="I233" s="7">
        <v>5</v>
      </c>
      <c r="J233" s="7">
        <v>135</v>
      </c>
      <c r="K233" s="7">
        <v>80</v>
      </c>
      <c r="L233" s="7">
        <v>175</v>
      </c>
      <c r="M233" s="7">
        <v>120</v>
      </c>
    </row>
    <row r="234" spans="1:13" x14ac:dyDescent="0.4">
      <c r="A234" s="4">
        <v>2025</v>
      </c>
      <c r="B234" s="7">
        <v>0</v>
      </c>
      <c r="C234" s="7">
        <v>0</v>
      </c>
      <c r="D234" s="7">
        <v>0</v>
      </c>
      <c r="E234" s="7">
        <v>0</v>
      </c>
      <c r="F234" s="7">
        <v>0</v>
      </c>
      <c r="G234" s="7">
        <v>0</v>
      </c>
      <c r="H234" s="7">
        <v>0</v>
      </c>
      <c r="I234" s="7">
        <v>5</v>
      </c>
      <c r="J234" s="7">
        <v>130</v>
      </c>
      <c r="K234" s="7">
        <v>80</v>
      </c>
      <c r="L234" s="7">
        <v>165</v>
      </c>
      <c r="M234" s="7">
        <v>115</v>
      </c>
    </row>
    <row r="236" spans="1:13" x14ac:dyDescent="0.4">
      <c r="A236" s="3" t="s">
        <v>42</v>
      </c>
    </row>
    <row r="237" spans="1:13" x14ac:dyDescent="0.4">
      <c r="A237" s="3" t="s">
        <v>43</v>
      </c>
    </row>
    <row r="238" spans="1:13" x14ac:dyDescent="0.4">
      <c r="A238" s="3" t="s">
        <v>44</v>
      </c>
    </row>
    <row r="241" spans="1:13" x14ac:dyDescent="0.4">
      <c r="A241" s="2" t="s">
        <v>24</v>
      </c>
    </row>
    <row r="242" spans="1:13" x14ac:dyDescent="0.4">
      <c r="A242" s="3" t="s">
        <v>46</v>
      </c>
    </row>
    <row r="244" spans="1:13" x14ac:dyDescent="0.4">
      <c r="A244" s="4" t="s">
        <v>25</v>
      </c>
      <c r="B244" s="4" t="s">
        <v>26</v>
      </c>
    </row>
    <row r="245" spans="1:13" x14ac:dyDescent="0.4">
      <c r="A245" s="4" t="s">
        <v>27</v>
      </c>
      <c r="B245" s="4" t="s">
        <v>26</v>
      </c>
    </row>
    <row r="246" spans="1:13" x14ac:dyDescent="0.4">
      <c r="A246" s="4" t="s">
        <v>28</v>
      </c>
      <c r="B246" s="4" t="s">
        <v>53</v>
      </c>
    </row>
    <row r="248" spans="1:13" ht="78" x14ac:dyDescent="0.4">
      <c r="A248" s="5" t="s">
        <v>30</v>
      </c>
      <c r="B248" s="6" t="s">
        <v>31</v>
      </c>
      <c r="C248" s="6" t="s">
        <v>32</v>
      </c>
      <c r="D248" s="6" t="s">
        <v>33</v>
      </c>
      <c r="E248" s="6" t="s">
        <v>34</v>
      </c>
      <c r="F248" s="6" t="s">
        <v>35</v>
      </c>
      <c r="G248" s="6" t="s">
        <v>36</v>
      </c>
      <c r="H248" s="6" t="s">
        <v>37</v>
      </c>
      <c r="I248" s="6" t="s">
        <v>47</v>
      </c>
      <c r="J248" s="6" t="s">
        <v>38</v>
      </c>
      <c r="K248" s="6" t="s">
        <v>39</v>
      </c>
      <c r="L248" s="6" t="s">
        <v>40</v>
      </c>
      <c r="M248" s="6" t="s">
        <v>41</v>
      </c>
    </row>
    <row r="249" spans="1:13" x14ac:dyDescent="0.4">
      <c r="A249" s="4">
        <v>2010</v>
      </c>
      <c r="B249" s="7">
        <v>5</v>
      </c>
      <c r="C249" s="7">
        <v>10</v>
      </c>
      <c r="D249" s="7">
        <v>5</v>
      </c>
      <c r="E249" s="7">
        <v>0</v>
      </c>
      <c r="F249" s="7">
        <v>5</v>
      </c>
      <c r="G249" s="7">
        <v>10</v>
      </c>
      <c r="H249" s="7">
        <v>5</v>
      </c>
      <c r="I249" s="7">
        <v>40</v>
      </c>
      <c r="J249" s="7">
        <v>765</v>
      </c>
      <c r="K249" s="7">
        <v>525</v>
      </c>
      <c r="L249" s="7">
        <v>930</v>
      </c>
      <c r="M249" s="7">
        <v>695</v>
      </c>
    </row>
    <row r="250" spans="1:13" x14ac:dyDescent="0.4">
      <c r="A250" s="4">
        <v>2011</v>
      </c>
      <c r="B250" s="7">
        <v>10</v>
      </c>
      <c r="C250" s="7">
        <v>10</v>
      </c>
      <c r="D250" s="7">
        <v>15</v>
      </c>
      <c r="E250" s="7">
        <v>5</v>
      </c>
      <c r="F250" s="7">
        <v>5</v>
      </c>
      <c r="G250" s="7">
        <v>15</v>
      </c>
      <c r="H250" s="7">
        <v>10</v>
      </c>
      <c r="I250" s="7">
        <v>65</v>
      </c>
      <c r="J250" s="7">
        <v>1195</v>
      </c>
      <c r="K250" s="7">
        <v>885</v>
      </c>
      <c r="L250" s="7">
        <v>1425</v>
      </c>
      <c r="M250" s="7">
        <v>1115</v>
      </c>
    </row>
    <row r="251" spans="1:13" x14ac:dyDescent="0.4">
      <c r="A251" s="4">
        <v>2012</v>
      </c>
      <c r="B251" s="7">
        <v>15</v>
      </c>
      <c r="C251" s="7">
        <v>15</v>
      </c>
      <c r="D251" s="7">
        <v>50</v>
      </c>
      <c r="E251" s="7">
        <v>5</v>
      </c>
      <c r="F251" s="7">
        <v>5</v>
      </c>
      <c r="G251" s="7">
        <v>25</v>
      </c>
      <c r="H251" s="7">
        <v>25</v>
      </c>
      <c r="I251" s="7">
        <v>145</v>
      </c>
      <c r="J251" s="7">
        <v>2150</v>
      </c>
      <c r="K251" s="7">
        <v>1730</v>
      </c>
      <c r="L251" s="7">
        <v>2390</v>
      </c>
      <c r="M251" s="7">
        <v>1970</v>
      </c>
    </row>
    <row r="252" spans="1:13" x14ac:dyDescent="0.4">
      <c r="A252" s="4">
        <v>2013</v>
      </c>
      <c r="B252" s="7">
        <v>15</v>
      </c>
      <c r="C252" s="7">
        <v>30</v>
      </c>
      <c r="D252" s="7">
        <v>60</v>
      </c>
      <c r="E252" s="7">
        <v>10</v>
      </c>
      <c r="F252" s="7">
        <v>5</v>
      </c>
      <c r="G252" s="7">
        <v>35</v>
      </c>
      <c r="H252" s="7">
        <v>30</v>
      </c>
      <c r="I252" s="7">
        <v>190</v>
      </c>
      <c r="J252" s="7">
        <v>2690</v>
      </c>
      <c r="K252" s="7">
        <v>2225</v>
      </c>
      <c r="L252" s="7">
        <v>2930</v>
      </c>
      <c r="M252" s="7">
        <v>2470</v>
      </c>
    </row>
    <row r="253" spans="1:13" x14ac:dyDescent="0.4">
      <c r="A253" s="4">
        <v>2014</v>
      </c>
      <c r="B253" s="7">
        <v>15</v>
      </c>
      <c r="C253" s="7">
        <v>35</v>
      </c>
      <c r="D253" s="7">
        <v>65</v>
      </c>
      <c r="E253" s="7">
        <v>10</v>
      </c>
      <c r="F253" s="7">
        <v>10</v>
      </c>
      <c r="G253" s="7">
        <v>40</v>
      </c>
      <c r="H253" s="7">
        <v>40</v>
      </c>
      <c r="I253" s="7">
        <v>220</v>
      </c>
      <c r="J253" s="7">
        <v>3355</v>
      </c>
      <c r="K253" s="7">
        <v>2830</v>
      </c>
      <c r="L253" s="7">
        <v>3580</v>
      </c>
      <c r="M253" s="7">
        <v>3055</v>
      </c>
    </row>
    <row r="254" spans="1:13" x14ac:dyDescent="0.4">
      <c r="A254" s="4">
        <v>2015</v>
      </c>
      <c r="B254" s="7">
        <v>20</v>
      </c>
      <c r="C254" s="7">
        <v>35</v>
      </c>
      <c r="D254" s="7">
        <v>70</v>
      </c>
      <c r="E254" s="7">
        <v>10</v>
      </c>
      <c r="F254" s="7">
        <v>10</v>
      </c>
      <c r="G254" s="7">
        <v>40</v>
      </c>
      <c r="H254" s="7">
        <v>40</v>
      </c>
      <c r="I254" s="7">
        <v>225</v>
      </c>
      <c r="J254" s="7">
        <v>3710</v>
      </c>
      <c r="K254" s="7">
        <v>3145</v>
      </c>
      <c r="L254" s="7">
        <v>3930</v>
      </c>
      <c r="M254" s="7">
        <v>3365</v>
      </c>
    </row>
    <row r="255" spans="1:13" x14ac:dyDescent="0.4">
      <c r="A255" s="4">
        <v>2016</v>
      </c>
      <c r="B255" s="7">
        <v>15</v>
      </c>
      <c r="C255" s="7">
        <v>35</v>
      </c>
      <c r="D255" s="7">
        <v>65</v>
      </c>
      <c r="E255" s="7">
        <v>10</v>
      </c>
      <c r="F255" s="7">
        <v>10</v>
      </c>
      <c r="G255" s="7">
        <v>40</v>
      </c>
      <c r="H255" s="7">
        <v>40</v>
      </c>
      <c r="I255" s="7">
        <v>220</v>
      </c>
      <c r="J255" s="7">
        <v>3790</v>
      </c>
      <c r="K255" s="7">
        <v>3220</v>
      </c>
      <c r="L255" s="7">
        <v>3995</v>
      </c>
      <c r="M255" s="7">
        <v>3425</v>
      </c>
    </row>
    <row r="256" spans="1:13" x14ac:dyDescent="0.4">
      <c r="A256" s="4">
        <v>2017</v>
      </c>
      <c r="B256" s="7">
        <v>15</v>
      </c>
      <c r="C256" s="7">
        <v>35</v>
      </c>
      <c r="D256" s="7">
        <v>65</v>
      </c>
      <c r="E256" s="7">
        <v>10</v>
      </c>
      <c r="F256" s="7">
        <v>5</v>
      </c>
      <c r="G256" s="7">
        <v>40</v>
      </c>
      <c r="H256" s="7">
        <v>45</v>
      </c>
      <c r="I256" s="7">
        <v>215</v>
      </c>
      <c r="J256" s="7">
        <v>3910</v>
      </c>
      <c r="K256" s="7">
        <v>3305</v>
      </c>
      <c r="L256" s="7">
        <v>4120</v>
      </c>
      <c r="M256" s="7">
        <v>3515</v>
      </c>
    </row>
    <row r="257" spans="1:13" x14ac:dyDescent="0.4">
      <c r="A257" s="4">
        <v>2018</v>
      </c>
      <c r="B257" s="7">
        <v>15</v>
      </c>
      <c r="C257" s="7">
        <v>30</v>
      </c>
      <c r="D257" s="7">
        <v>65</v>
      </c>
      <c r="E257" s="7">
        <v>15</v>
      </c>
      <c r="F257" s="7">
        <v>5</v>
      </c>
      <c r="G257" s="7">
        <v>40</v>
      </c>
      <c r="H257" s="7">
        <v>40</v>
      </c>
      <c r="I257" s="7">
        <v>210</v>
      </c>
      <c r="J257" s="7">
        <v>3855</v>
      </c>
      <c r="K257" s="7">
        <v>3230</v>
      </c>
      <c r="L257" s="7">
        <v>4060</v>
      </c>
      <c r="M257" s="7">
        <v>3440</v>
      </c>
    </row>
    <row r="258" spans="1:13" x14ac:dyDescent="0.4">
      <c r="A258" s="4">
        <v>2019</v>
      </c>
      <c r="B258" s="7">
        <v>15</v>
      </c>
      <c r="C258" s="7">
        <v>30</v>
      </c>
      <c r="D258" s="7">
        <v>60</v>
      </c>
      <c r="E258" s="7">
        <v>10</v>
      </c>
      <c r="F258" s="7">
        <v>5</v>
      </c>
      <c r="G258" s="7">
        <v>35</v>
      </c>
      <c r="H258" s="7">
        <v>35</v>
      </c>
      <c r="I258" s="7">
        <v>200</v>
      </c>
      <c r="J258" s="7">
        <v>3690</v>
      </c>
      <c r="K258" s="7">
        <v>3095</v>
      </c>
      <c r="L258" s="7">
        <v>3895</v>
      </c>
      <c r="M258" s="7">
        <v>3300</v>
      </c>
    </row>
    <row r="259" spans="1:13" x14ac:dyDescent="0.4">
      <c r="A259" s="4">
        <v>2020</v>
      </c>
      <c r="B259" s="7">
        <v>15</v>
      </c>
      <c r="C259" s="7">
        <v>30</v>
      </c>
      <c r="D259" s="7">
        <v>55</v>
      </c>
      <c r="E259" s="7">
        <v>10</v>
      </c>
      <c r="F259" s="7">
        <v>5</v>
      </c>
      <c r="G259" s="7">
        <v>35</v>
      </c>
      <c r="H259" s="7">
        <v>35</v>
      </c>
      <c r="I259" s="7">
        <v>185</v>
      </c>
      <c r="J259" s="7">
        <v>3520</v>
      </c>
      <c r="K259" s="7">
        <v>2935</v>
      </c>
      <c r="L259" s="7">
        <v>3730</v>
      </c>
      <c r="M259" s="7">
        <v>3150</v>
      </c>
    </row>
    <row r="260" spans="1:13" x14ac:dyDescent="0.4">
      <c r="A260" s="4">
        <v>2021</v>
      </c>
      <c r="B260" s="7">
        <v>10</v>
      </c>
      <c r="C260" s="7">
        <v>30</v>
      </c>
      <c r="D260" s="7">
        <v>55</v>
      </c>
      <c r="E260" s="7">
        <v>10</v>
      </c>
      <c r="F260" s="7">
        <v>5</v>
      </c>
      <c r="G260" s="7">
        <v>30</v>
      </c>
      <c r="H260" s="7">
        <v>30</v>
      </c>
      <c r="I260" s="7">
        <v>170</v>
      </c>
      <c r="J260" s="7">
        <v>3345</v>
      </c>
      <c r="K260" s="7">
        <v>2785</v>
      </c>
      <c r="L260" s="7">
        <v>3550</v>
      </c>
      <c r="M260" s="7">
        <v>2990</v>
      </c>
    </row>
    <row r="261" spans="1:13" x14ac:dyDescent="0.4">
      <c r="A261" s="4">
        <v>2022</v>
      </c>
      <c r="B261" s="7">
        <v>10</v>
      </c>
      <c r="C261" s="7">
        <v>30</v>
      </c>
      <c r="D261" s="7">
        <v>55</v>
      </c>
      <c r="E261" s="7">
        <v>5</v>
      </c>
      <c r="F261" s="7">
        <v>5</v>
      </c>
      <c r="G261" s="7">
        <v>30</v>
      </c>
      <c r="H261" s="7">
        <v>30</v>
      </c>
      <c r="I261" s="7">
        <v>165</v>
      </c>
      <c r="J261" s="7">
        <v>3215</v>
      </c>
      <c r="K261" s="7">
        <v>2680</v>
      </c>
      <c r="L261" s="7">
        <v>3425</v>
      </c>
      <c r="M261" s="7">
        <v>2890</v>
      </c>
    </row>
    <row r="262" spans="1:13" x14ac:dyDescent="0.4">
      <c r="A262" s="4">
        <v>2023</v>
      </c>
      <c r="B262" s="7">
        <v>10</v>
      </c>
      <c r="C262" s="7">
        <v>30</v>
      </c>
      <c r="D262" s="7">
        <v>55</v>
      </c>
      <c r="E262" s="7">
        <v>5</v>
      </c>
      <c r="F262" s="7">
        <v>5</v>
      </c>
      <c r="G262" s="7">
        <v>25</v>
      </c>
      <c r="H262" s="7">
        <v>25</v>
      </c>
      <c r="I262" s="7">
        <v>160</v>
      </c>
      <c r="J262" s="7">
        <v>3070</v>
      </c>
      <c r="K262" s="7">
        <v>2545</v>
      </c>
      <c r="L262" s="7">
        <v>3280</v>
      </c>
      <c r="M262" s="7">
        <v>2755</v>
      </c>
    </row>
    <row r="263" spans="1:13" x14ac:dyDescent="0.4">
      <c r="A263" s="4">
        <v>2024</v>
      </c>
      <c r="B263" s="7">
        <v>10</v>
      </c>
      <c r="C263" s="7">
        <v>30</v>
      </c>
      <c r="D263" s="7">
        <v>60</v>
      </c>
      <c r="E263" s="7">
        <v>10</v>
      </c>
      <c r="F263" s="7">
        <v>10</v>
      </c>
      <c r="G263" s="7">
        <v>25</v>
      </c>
      <c r="H263" s="7">
        <v>25</v>
      </c>
      <c r="I263" s="7">
        <v>170</v>
      </c>
      <c r="J263" s="7">
        <v>3255</v>
      </c>
      <c r="K263" s="7">
        <v>2705</v>
      </c>
      <c r="L263" s="7">
        <v>3470</v>
      </c>
      <c r="M263" s="7">
        <v>2920</v>
      </c>
    </row>
    <row r="264" spans="1:13" x14ac:dyDescent="0.4">
      <c r="A264" s="4">
        <v>2025</v>
      </c>
      <c r="B264" s="7">
        <v>10</v>
      </c>
      <c r="C264" s="7">
        <v>25</v>
      </c>
      <c r="D264" s="7">
        <v>55</v>
      </c>
      <c r="E264" s="7">
        <v>10</v>
      </c>
      <c r="F264" s="7">
        <v>10</v>
      </c>
      <c r="G264" s="7">
        <v>20</v>
      </c>
      <c r="H264" s="7">
        <v>25</v>
      </c>
      <c r="I264" s="7">
        <v>160</v>
      </c>
      <c r="J264" s="7">
        <v>3135</v>
      </c>
      <c r="K264" s="7">
        <v>2580</v>
      </c>
      <c r="L264" s="7">
        <v>3350</v>
      </c>
      <c r="M264" s="7">
        <v>2800</v>
      </c>
    </row>
    <row r="266" spans="1:13" x14ac:dyDescent="0.4">
      <c r="A266" s="3" t="s">
        <v>42</v>
      </c>
    </row>
    <row r="267" spans="1:13" x14ac:dyDescent="0.4">
      <c r="A267" s="3" t="s">
        <v>43</v>
      </c>
    </row>
    <row r="268" spans="1:13" x14ac:dyDescent="0.4">
      <c r="A268" s="3" t="s">
        <v>44</v>
      </c>
    </row>
    <row r="271" spans="1:13" x14ac:dyDescent="0.4">
      <c r="A271" s="2" t="s">
        <v>24</v>
      </c>
    </row>
    <row r="272" spans="1:13" x14ac:dyDescent="0.4">
      <c r="A272" s="3" t="s">
        <v>46</v>
      </c>
    </row>
    <row r="274" spans="1:13" x14ac:dyDescent="0.4">
      <c r="A274" s="4" t="s">
        <v>25</v>
      </c>
      <c r="B274" s="4" t="s">
        <v>26</v>
      </c>
    </row>
    <row r="275" spans="1:13" x14ac:dyDescent="0.4">
      <c r="A275" s="4" t="s">
        <v>27</v>
      </c>
      <c r="B275" s="4" t="s">
        <v>26</v>
      </c>
    </row>
    <row r="276" spans="1:13" x14ac:dyDescent="0.4">
      <c r="A276" s="4" t="s">
        <v>28</v>
      </c>
      <c r="B276" s="4" t="s">
        <v>54</v>
      </c>
    </row>
    <row r="278" spans="1:13" ht="78" x14ac:dyDescent="0.4">
      <c r="A278" s="5" t="s">
        <v>30</v>
      </c>
      <c r="B278" s="6" t="s">
        <v>31</v>
      </c>
      <c r="C278" s="6" t="s">
        <v>32</v>
      </c>
      <c r="D278" s="6" t="s">
        <v>33</v>
      </c>
      <c r="E278" s="6" t="s">
        <v>34</v>
      </c>
      <c r="F278" s="6" t="s">
        <v>35</v>
      </c>
      <c r="G278" s="6" t="s">
        <v>36</v>
      </c>
      <c r="H278" s="6" t="s">
        <v>37</v>
      </c>
      <c r="I278" s="6" t="s">
        <v>47</v>
      </c>
      <c r="J278" s="6" t="s">
        <v>38</v>
      </c>
      <c r="K278" s="6" t="s">
        <v>39</v>
      </c>
      <c r="L278" s="6" t="s">
        <v>40</v>
      </c>
      <c r="M278" s="6" t="s">
        <v>41</v>
      </c>
    </row>
    <row r="279" spans="1:13" x14ac:dyDescent="0.4">
      <c r="A279" s="4">
        <v>2010</v>
      </c>
      <c r="B279" s="7">
        <v>25</v>
      </c>
      <c r="C279" s="7">
        <v>0</v>
      </c>
      <c r="D279" s="7">
        <v>70</v>
      </c>
      <c r="E279" s="7">
        <v>20</v>
      </c>
      <c r="F279" s="7">
        <v>20</v>
      </c>
      <c r="G279" s="7">
        <v>30</v>
      </c>
      <c r="H279" s="7">
        <v>55</v>
      </c>
      <c r="I279" s="7">
        <v>220</v>
      </c>
      <c r="J279" s="7">
        <v>3495</v>
      </c>
      <c r="K279" s="7">
        <v>3245</v>
      </c>
      <c r="L279" s="7">
        <v>3935</v>
      </c>
      <c r="M279" s="7">
        <v>3680</v>
      </c>
    </row>
    <row r="280" spans="1:13" x14ac:dyDescent="0.4">
      <c r="A280" s="4">
        <v>2011</v>
      </c>
      <c r="B280" s="7">
        <v>25</v>
      </c>
      <c r="C280" s="7">
        <v>5</v>
      </c>
      <c r="D280" s="7">
        <v>95</v>
      </c>
      <c r="E280" s="7">
        <v>20</v>
      </c>
      <c r="F280" s="7">
        <v>25</v>
      </c>
      <c r="G280" s="7">
        <v>25</v>
      </c>
      <c r="H280" s="7">
        <v>50</v>
      </c>
      <c r="I280" s="7">
        <v>240</v>
      </c>
      <c r="J280" s="7">
        <v>3840</v>
      </c>
      <c r="K280" s="7">
        <v>3490</v>
      </c>
      <c r="L280" s="7">
        <v>4280</v>
      </c>
      <c r="M280" s="7">
        <v>3930</v>
      </c>
    </row>
    <row r="281" spans="1:13" x14ac:dyDescent="0.4">
      <c r="A281" s="4">
        <v>2012</v>
      </c>
      <c r="B281" s="7">
        <v>25</v>
      </c>
      <c r="C281" s="7">
        <v>5</v>
      </c>
      <c r="D281" s="7">
        <v>120</v>
      </c>
      <c r="E281" s="7">
        <v>20</v>
      </c>
      <c r="F281" s="7">
        <v>30</v>
      </c>
      <c r="G281" s="7">
        <v>45</v>
      </c>
      <c r="H281" s="7">
        <v>95</v>
      </c>
      <c r="I281" s="7">
        <v>335</v>
      </c>
      <c r="J281" s="7">
        <v>5060</v>
      </c>
      <c r="K281" s="7">
        <v>4735</v>
      </c>
      <c r="L281" s="7">
        <v>5545</v>
      </c>
      <c r="M281" s="7">
        <v>5220</v>
      </c>
    </row>
    <row r="282" spans="1:13" x14ac:dyDescent="0.4">
      <c r="A282" s="4">
        <v>2013</v>
      </c>
      <c r="B282" s="7">
        <v>35</v>
      </c>
      <c r="C282" s="7">
        <v>5</v>
      </c>
      <c r="D282" s="7">
        <v>145</v>
      </c>
      <c r="E282" s="7">
        <v>25</v>
      </c>
      <c r="F282" s="7">
        <v>30</v>
      </c>
      <c r="G282" s="7">
        <v>35</v>
      </c>
      <c r="H282" s="7">
        <v>115</v>
      </c>
      <c r="I282" s="7">
        <v>390</v>
      </c>
      <c r="J282" s="7">
        <v>6005</v>
      </c>
      <c r="K282" s="7">
        <v>5645</v>
      </c>
      <c r="L282" s="7">
        <v>6520</v>
      </c>
      <c r="M282" s="7">
        <v>6160</v>
      </c>
    </row>
    <row r="283" spans="1:13" x14ac:dyDescent="0.4">
      <c r="A283" s="4">
        <v>2014</v>
      </c>
      <c r="B283" s="7">
        <v>35</v>
      </c>
      <c r="C283" s="7">
        <v>10</v>
      </c>
      <c r="D283" s="7">
        <v>145</v>
      </c>
      <c r="E283" s="7">
        <v>30</v>
      </c>
      <c r="F283" s="7">
        <v>30</v>
      </c>
      <c r="G283" s="7">
        <v>30</v>
      </c>
      <c r="H283" s="7">
        <v>130</v>
      </c>
      <c r="I283" s="7">
        <v>415</v>
      </c>
      <c r="J283" s="7">
        <v>6450</v>
      </c>
      <c r="K283" s="7">
        <v>6095</v>
      </c>
      <c r="L283" s="7">
        <v>7000</v>
      </c>
      <c r="M283" s="7">
        <v>6645</v>
      </c>
    </row>
    <row r="284" spans="1:13" x14ac:dyDescent="0.4">
      <c r="A284" s="4">
        <v>2015</v>
      </c>
      <c r="B284" s="7">
        <v>35</v>
      </c>
      <c r="C284" s="7">
        <v>10</v>
      </c>
      <c r="D284" s="7">
        <v>175</v>
      </c>
      <c r="E284" s="7">
        <v>30</v>
      </c>
      <c r="F284" s="7">
        <v>35</v>
      </c>
      <c r="G284" s="7">
        <v>30</v>
      </c>
      <c r="H284" s="7">
        <v>145</v>
      </c>
      <c r="I284" s="7">
        <v>465</v>
      </c>
      <c r="J284" s="7">
        <v>7200</v>
      </c>
      <c r="K284" s="7">
        <v>6845</v>
      </c>
      <c r="L284" s="7">
        <v>7845</v>
      </c>
      <c r="M284" s="7">
        <v>7490</v>
      </c>
    </row>
    <row r="285" spans="1:13" x14ac:dyDescent="0.4">
      <c r="A285" s="4">
        <v>2016</v>
      </c>
      <c r="B285" s="7">
        <v>40</v>
      </c>
      <c r="C285" s="7">
        <v>10</v>
      </c>
      <c r="D285" s="7">
        <v>170</v>
      </c>
      <c r="E285" s="7">
        <v>35</v>
      </c>
      <c r="F285" s="7">
        <v>35</v>
      </c>
      <c r="G285" s="7">
        <v>35</v>
      </c>
      <c r="H285" s="7">
        <v>150</v>
      </c>
      <c r="I285" s="7">
        <v>470</v>
      </c>
      <c r="J285" s="7">
        <v>7435</v>
      </c>
      <c r="K285" s="7">
        <v>7075</v>
      </c>
      <c r="L285" s="7">
        <v>8065</v>
      </c>
      <c r="M285" s="7">
        <v>7710</v>
      </c>
    </row>
    <row r="286" spans="1:13" x14ac:dyDescent="0.4">
      <c r="A286" s="4">
        <v>2017</v>
      </c>
      <c r="B286" s="7">
        <v>35</v>
      </c>
      <c r="C286" s="7">
        <v>10</v>
      </c>
      <c r="D286" s="7">
        <v>185</v>
      </c>
      <c r="E286" s="7">
        <v>35</v>
      </c>
      <c r="F286" s="7">
        <v>40</v>
      </c>
      <c r="G286" s="7">
        <v>30</v>
      </c>
      <c r="H286" s="7">
        <v>155</v>
      </c>
      <c r="I286" s="7">
        <v>490</v>
      </c>
      <c r="J286" s="7">
        <v>7565</v>
      </c>
      <c r="K286" s="7">
        <v>7225</v>
      </c>
      <c r="L286" s="7">
        <v>8215</v>
      </c>
      <c r="M286" s="7">
        <v>7875</v>
      </c>
    </row>
    <row r="287" spans="1:13" x14ac:dyDescent="0.4">
      <c r="A287" s="4">
        <v>2018</v>
      </c>
      <c r="B287" s="7">
        <v>35</v>
      </c>
      <c r="C287" s="7">
        <v>10</v>
      </c>
      <c r="D287" s="7">
        <v>180</v>
      </c>
      <c r="E287" s="7">
        <v>35</v>
      </c>
      <c r="F287" s="7">
        <v>40</v>
      </c>
      <c r="G287" s="7">
        <v>35</v>
      </c>
      <c r="H287" s="7">
        <v>155</v>
      </c>
      <c r="I287" s="7">
        <v>495</v>
      </c>
      <c r="J287" s="7">
        <v>7695</v>
      </c>
      <c r="K287" s="7">
        <v>7295</v>
      </c>
      <c r="L287" s="7">
        <v>8485</v>
      </c>
      <c r="M287" s="7">
        <v>8085</v>
      </c>
    </row>
    <row r="288" spans="1:13" x14ac:dyDescent="0.4">
      <c r="A288" s="4">
        <v>2019</v>
      </c>
      <c r="B288" s="7">
        <v>35</v>
      </c>
      <c r="C288" s="7">
        <v>10</v>
      </c>
      <c r="D288" s="7">
        <v>180</v>
      </c>
      <c r="E288" s="7">
        <v>40</v>
      </c>
      <c r="F288" s="7">
        <v>40</v>
      </c>
      <c r="G288" s="7">
        <v>35</v>
      </c>
      <c r="H288" s="7">
        <v>165</v>
      </c>
      <c r="I288" s="7">
        <v>505</v>
      </c>
      <c r="J288" s="7">
        <v>7810</v>
      </c>
      <c r="K288" s="7">
        <v>7420</v>
      </c>
      <c r="L288" s="7">
        <v>8660</v>
      </c>
      <c r="M288" s="7">
        <v>8265</v>
      </c>
    </row>
    <row r="289" spans="1:13" x14ac:dyDescent="0.4">
      <c r="A289" s="4">
        <v>2020</v>
      </c>
      <c r="B289" s="7">
        <v>40</v>
      </c>
      <c r="C289" s="7">
        <v>15</v>
      </c>
      <c r="D289" s="7">
        <v>190</v>
      </c>
      <c r="E289" s="7">
        <v>40</v>
      </c>
      <c r="F289" s="7">
        <v>45</v>
      </c>
      <c r="G289" s="7">
        <v>35</v>
      </c>
      <c r="H289" s="7">
        <v>165</v>
      </c>
      <c r="I289" s="7">
        <v>520</v>
      </c>
      <c r="J289" s="7">
        <v>7920</v>
      </c>
      <c r="K289" s="7">
        <v>7510</v>
      </c>
      <c r="L289" s="7">
        <v>8785</v>
      </c>
      <c r="M289" s="7">
        <v>8375</v>
      </c>
    </row>
    <row r="290" spans="1:13" x14ac:dyDescent="0.4">
      <c r="A290" s="4">
        <v>2021</v>
      </c>
      <c r="B290" s="7">
        <v>40</v>
      </c>
      <c r="C290" s="7">
        <v>10</v>
      </c>
      <c r="D290" s="7">
        <v>190</v>
      </c>
      <c r="E290" s="7">
        <v>40</v>
      </c>
      <c r="F290" s="7">
        <v>45</v>
      </c>
      <c r="G290" s="7">
        <v>30</v>
      </c>
      <c r="H290" s="7">
        <v>155</v>
      </c>
      <c r="I290" s="7">
        <v>515</v>
      </c>
      <c r="J290" s="7">
        <v>7910</v>
      </c>
      <c r="K290" s="7">
        <v>7500</v>
      </c>
      <c r="L290" s="7">
        <v>8780</v>
      </c>
      <c r="M290" s="7">
        <v>8370</v>
      </c>
    </row>
    <row r="291" spans="1:13" x14ac:dyDescent="0.4">
      <c r="A291" s="4">
        <v>2022</v>
      </c>
      <c r="B291" s="7">
        <v>40</v>
      </c>
      <c r="C291" s="7">
        <v>15</v>
      </c>
      <c r="D291" s="7">
        <v>185</v>
      </c>
      <c r="E291" s="7">
        <v>35</v>
      </c>
      <c r="F291" s="7">
        <v>45</v>
      </c>
      <c r="G291" s="7">
        <v>30</v>
      </c>
      <c r="H291" s="7">
        <v>160</v>
      </c>
      <c r="I291" s="7">
        <v>510</v>
      </c>
      <c r="J291" s="7">
        <v>7965</v>
      </c>
      <c r="K291" s="7">
        <v>7555</v>
      </c>
      <c r="L291" s="7">
        <v>8850</v>
      </c>
      <c r="M291" s="7">
        <v>8440</v>
      </c>
    </row>
    <row r="292" spans="1:13" x14ac:dyDescent="0.4">
      <c r="A292" s="4">
        <v>2023</v>
      </c>
      <c r="B292" s="7">
        <v>40</v>
      </c>
      <c r="C292" s="7">
        <v>10</v>
      </c>
      <c r="D292" s="7">
        <v>195</v>
      </c>
      <c r="E292" s="7">
        <v>35</v>
      </c>
      <c r="F292" s="7">
        <v>45</v>
      </c>
      <c r="G292" s="7">
        <v>30</v>
      </c>
      <c r="H292" s="7">
        <v>160</v>
      </c>
      <c r="I292" s="7">
        <v>510</v>
      </c>
      <c r="J292" s="7">
        <v>8140</v>
      </c>
      <c r="K292" s="7">
        <v>7725</v>
      </c>
      <c r="L292" s="7">
        <v>9030</v>
      </c>
      <c r="M292" s="7">
        <v>8620</v>
      </c>
    </row>
    <row r="293" spans="1:13" x14ac:dyDescent="0.4">
      <c r="A293" s="4">
        <v>2024</v>
      </c>
      <c r="B293" s="7">
        <v>40</v>
      </c>
      <c r="C293" s="7">
        <v>10</v>
      </c>
      <c r="D293" s="7">
        <v>190</v>
      </c>
      <c r="E293" s="7">
        <v>35</v>
      </c>
      <c r="F293" s="7">
        <v>45</v>
      </c>
      <c r="G293" s="7">
        <v>30</v>
      </c>
      <c r="H293" s="7">
        <v>160</v>
      </c>
      <c r="I293" s="7">
        <v>505</v>
      </c>
      <c r="J293" s="7">
        <v>8170</v>
      </c>
      <c r="K293" s="7">
        <v>7745</v>
      </c>
      <c r="L293" s="7">
        <v>9060</v>
      </c>
      <c r="M293" s="7">
        <v>8635</v>
      </c>
    </row>
    <row r="294" spans="1:13" x14ac:dyDescent="0.4">
      <c r="A294" s="4">
        <v>2025</v>
      </c>
      <c r="B294" s="7">
        <v>40</v>
      </c>
      <c r="C294" s="7">
        <v>10</v>
      </c>
      <c r="D294" s="7">
        <v>195</v>
      </c>
      <c r="E294" s="7">
        <v>35</v>
      </c>
      <c r="F294" s="7">
        <v>45</v>
      </c>
      <c r="G294" s="7">
        <v>25</v>
      </c>
      <c r="H294" s="7">
        <v>165</v>
      </c>
      <c r="I294" s="7">
        <v>515</v>
      </c>
      <c r="J294" s="7">
        <v>8215</v>
      </c>
      <c r="K294" s="7">
        <v>7815</v>
      </c>
      <c r="L294" s="7">
        <v>9120</v>
      </c>
      <c r="M294" s="7">
        <v>8715</v>
      </c>
    </row>
    <row r="296" spans="1:13" x14ac:dyDescent="0.4">
      <c r="A296" s="3" t="s">
        <v>42</v>
      </c>
    </row>
    <row r="297" spans="1:13" x14ac:dyDescent="0.4">
      <c r="A297" s="3" t="s">
        <v>43</v>
      </c>
    </row>
    <row r="298" spans="1:13" x14ac:dyDescent="0.4">
      <c r="A298" s="3" t="s">
        <v>44</v>
      </c>
    </row>
    <row r="301" spans="1:13" x14ac:dyDescent="0.4">
      <c r="A301" s="2"/>
    </row>
    <row r="302" spans="1:13" x14ac:dyDescent="0.4">
      <c r="A302" s="3"/>
    </row>
    <row r="304" spans="1:13" x14ac:dyDescent="0.4">
      <c r="A304" s="4"/>
      <c r="B304" s="4"/>
    </row>
    <row r="305" spans="1:13" x14ac:dyDescent="0.4">
      <c r="A305" s="4"/>
      <c r="B305" s="4"/>
    </row>
    <row r="306" spans="1:13" x14ac:dyDescent="0.4">
      <c r="A306" s="4"/>
      <c r="B306" s="4"/>
    </row>
    <row r="308" spans="1:13" x14ac:dyDescent="0.4">
      <c r="A308" s="5"/>
      <c r="B308" s="6"/>
      <c r="C308" s="6"/>
      <c r="D308" s="6"/>
      <c r="E308" s="6"/>
      <c r="F308" s="6"/>
      <c r="G308" s="6"/>
      <c r="H308" s="6"/>
      <c r="I308" s="6"/>
      <c r="J308" s="6"/>
      <c r="K308" s="6"/>
      <c r="L308" s="6"/>
      <c r="M308" s="6"/>
    </row>
    <row r="309" spans="1:13" x14ac:dyDescent="0.4">
      <c r="A309" s="4"/>
      <c r="B309" s="7"/>
      <c r="C309" s="7"/>
      <c r="D309" s="7"/>
      <c r="E309" s="7"/>
      <c r="F309" s="7"/>
      <c r="G309" s="7"/>
      <c r="H309" s="7"/>
      <c r="I309" s="7"/>
      <c r="J309" s="7"/>
      <c r="K309" s="7"/>
      <c r="L309" s="7"/>
      <c r="M309" s="7"/>
    </row>
    <row r="310" spans="1:13" x14ac:dyDescent="0.4">
      <c r="A310" s="4"/>
      <c r="B310" s="7"/>
      <c r="C310" s="7"/>
      <c r="D310" s="7"/>
      <c r="E310" s="7"/>
      <c r="F310" s="7"/>
      <c r="G310" s="7"/>
      <c r="H310" s="7"/>
      <c r="I310" s="7"/>
      <c r="J310" s="7"/>
      <c r="K310" s="7"/>
      <c r="L310" s="7"/>
      <c r="M310" s="7"/>
    </row>
    <row r="311" spans="1:13" x14ac:dyDescent="0.4">
      <c r="A311" s="4"/>
      <c r="B311" s="7"/>
      <c r="C311" s="7"/>
      <c r="D311" s="7"/>
      <c r="E311" s="7"/>
      <c r="F311" s="7"/>
      <c r="G311" s="7"/>
      <c r="H311" s="7"/>
      <c r="I311" s="7"/>
      <c r="J311" s="7"/>
      <c r="K311" s="7"/>
      <c r="L311" s="7"/>
      <c r="M311" s="7"/>
    </row>
    <row r="312" spans="1:13" x14ac:dyDescent="0.4">
      <c r="A312" s="4"/>
      <c r="B312" s="7"/>
      <c r="C312" s="7"/>
      <c r="D312" s="7"/>
      <c r="E312" s="7"/>
      <c r="F312" s="7"/>
      <c r="G312" s="7"/>
      <c r="H312" s="7"/>
      <c r="I312" s="7"/>
      <c r="J312" s="7"/>
      <c r="K312" s="7"/>
      <c r="L312" s="7"/>
      <c r="M312" s="7"/>
    </row>
    <row r="313" spans="1:13" x14ac:dyDescent="0.4">
      <c r="A313" s="4"/>
      <c r="B313" s="7"/>
      <c r="C313" s="7"/>
      <c r="D313" s="7"/>
      <c r="E313" s="7"/>
      <c r="F313" s="7"/>
      <c r="G313" s="7"/>
      <c r="H313" s="7"/>
      <c r="I313" s="7"/>
      <c r="J313" s="7"/>
      <c r="K313" s="7"/>
      <c r="L313" s="7"/>
      <c r="M313" s="7"/>
    </row>
    <row r="314" spans="1:13" x14ac:dyDescent="0.4">
      <c r="A314" s="4"/>
      <c r="B314" s="7"/>
      <c r="C314" s="7"/>
      <c r="D314" s="7"/>
      <c r="E314" s="7"/>
      <c r="F314" s="7"/>
      <c r="G314" s="7"/>
      <c r="H314" s="7"/>
      <c r="I314" s="7"/>
      <c r="J314" s="7"/>
      <c r="K314" s="7"/>
      <c r="L314" s="7"/>
      <c r="M314" s="7"/>
    </row>
    <row r="315" spans="1:13" x14ac:dyDescent="0.4">
      <c r="A315" s="4"/>
      <c r="B315" s="7"/>
      <c r="C315" s="7"/>
      <c r="D315" s="7"/>
      <c r="E315" s="7"/>
      <c r="F315" s="7"/>
      <c r="G315" s="7"/>
      <c r="H315" s="7"/>
      <c r="I315" s="7"/>
      <c r="J315" s="7"/>
      <c r="K315" s="7"/>
      <c r="L315" s="7"/>
      <c r="M315" s="7"/>
    </row>
    <row r="316" spans="1:13" x14ac:dyDescent="0.4">
      <c r="A316" s="4"/>
      <c r="B316" s="7"/>
      <c r="C316" s="7"/>
      <c r="D316" s="7"/>
      <c r="E316" s="7"/>
      <c r="F316" s="7"/>
      <c r="G316" s="7"/>
      <c r="H316" s="7"/>
      <c r="I316" s="7"/>
      <c r="J316" s="7"/>
      <c r="K316" s="7"/>
      <c r="L316" s="7"/>
      <c r="M316" s="7"/>
    </row>
    <row r="317" spans="1:13" x14ac:dyDescent="0.4">
      <c r="A317" s="4"/>
      <c r="B317" s="7"/>
      <c r="C317" s="7"/>
      <c r="D317" s="7"/>
      <c r="E317" s="7"/>
      <c r="F317" s="7"/>
      <c r="G317" s="7"/>
      <c r="H317" s="7"/>
      <c r="I317" s="7"/>
      <c r="J317" s="7"/>
      <c r="K317" s="7"/>
      <c r="L317" s="7"/>
      <c r="M317" s="7"/>
    </row>
    <row r="318" spans="1:13" x14ac:dyDescent="0.4">
      <c r="A318" s="4"/>
      <c r="B318" s="7"/>
      <c r="C318" s="7"/>
      <c r="D318" s="7"/>
      <c r="E318" s="7"/>
      <c r="F318" s="7"/>
      <c r="G318" s="7"/>
      <c r="H318" s="7"/>
      <c r="I318" s="7"/>
      <c r="J318" s="7"/>
      <c r="K318" s="7"/>
      <c r="L318" s="7"/>
      <c r="M318" s="7"/>
    </row>
    <row r="319" spans="1:13" x14ac:dyDescent="0.4">
      <c r="A319" s="4"/>
      <c r="B319" s="7"/>
      <c r="C319" s="7"/>
      <c r="D319" s="7"/>
      <c r="E319" s="7"/>
      <c r="F319" s="7"/>
      <c r="G319" s="7"/>
      <c r="H319" s="7"/>
      <c r="I319" s="7"/>
      <c r="J319" s="7"/>
      <c r="K319" s="7"/>
      <c r="L319" s="7"/>
      <c r="M319" s="7"/>
    </row>
    <row r="320" spans="1:13" x14ac:dyDescent="0.4">
      <c r="A320" s="4"/>
      <c r="B320" s="7"/>
      <c r="C320" s="7"/>
      <c r="D320" s="7"/>
      <c r="E320" s="7"/>
      <c r="F320" s="7"/>
      <c r="G320" s="7"/>
      <c r="H320" s="7"/>
      <c r="I320" s="7"/>
      <c r="J320" s="7"/>
      <c r="K320" s="7"/>
      <c r="L320" s="7"/>
      <c r="M320" s="7"/>
    </row>
    <row r="321" spans="1:13" x14ac:dyDescent="0.4">
      <c r="A321" s="4"/>
      <c r="B321" s="7"/>
      <c r="C321" s="7"/>
      <c r="D321" s="7"/>
      <c r="E321" s="7"/>
      <c r="F321" s="7"/>
      <c r="G321" s="7"/>
      <c r="H321" s="7"/>
      <c r="I321" s="7"/>
      <c r="J321" s="7"/>
      <c r="K321" s="7"/>
      <c r="L321" s="7"/>
      <c r="M321" s="7"/>
    </row>
    <row r="322" spans="1:13" x14ac:dyDescent="0.4">
      <c r="A322" s="4"/>
      <c r="B322" s="7"/>
      <c r="C322" s="7"/>
      <c r="D322" s="7"/>
      <c r="E322" s="7"/>
      <c r="F322" s="7"/>
      <c r="G322" s="7"/>
      <c r="H322" s="7"/>
      <c r="I322" s="7"/>
      <c r="J322" s="7"/>
      <c r="K322" s="7"/>
      <c r="L322" s="7"/>
      <c r="M322" s="7"/>
    </row>
    <row r="323" spans="1:13" x14ac:dyDescent="0.4">
      <c r="A323" s="4"/>
      <c r="B323" s="7"/>
      <c r="C323" s="7"/>
      <c r="D323" s="7"/>
      <c r="E323" s="7"/>
      <c r="F323" s="7"/>
      <c r="G323" s="7"/>
      <c r="H323" s="7"/>
      <c r="I323" s="7"/>
      <c r="J323" s="7"/>
      <c r="K323" s="7"/>
      <c r="L323" s="7"/>
      <c r="M323" s="7"/>
    </row>
    <row r="324" spans="1:13" x14ac:dyDescent="0.4">
      <c r="A324" s="4"/>
      <c r="B324" s="7"/>
      <c r="C324" s="7"/>
      <c r="D324" s="7"/>
      <c r="E324" s="7"/>
      <c r="F324" s="7"/>
      <c r="G324" s="7"/>
      <c r="H324" s="7"/>
      <c r="I324" s="7"/>
      <c r="J324" s="7"/>
      <c r="K324" s="7"/>
      <c r="L324" s="7"/>
      <c r="M324" s="7"/>
    </row>
    <row r="326" spans="1:13" x14ac:dyDescent="0.4">
      <c r="A326" s="3"/>
    </row>
    <row r="327" spans="1:13" x14ac:dyDescent="0.4">
      <c r="A327" s="3"/>
    </row>
    <row r="328" spans="1:13" x14ac:dyDescent="0.4">
      <c r="A328" s="3"/>
    </row>
    <row r="331" spans="1:13" x14ac:dyDescent="0.4">
      <c r="A331" s="2"/>
    </row>
    <row r="332" spans="1:13" x14ac:dyDescent="0.4">
      <c r="A332" s="3"/>
    </row>
    <row r="334" spans="1:13" x14ac:dyDescent="0.4">
      <c r="A334" s="4"/>
      <c r="B334" s="4"/>
    </row>
    <row r="335" spans="1:13" x14ac:dyDescent="0.4">
      <c r="A335" s="4"/>
      <c r="B335" s="4"/>
    </row>
    <row r="336" spans="1:13" x14ac:dyDescent="0.4">
      <c r="A336" s="4"/>
      <c r="B336" s="4"/>
    </row>
    <row r="338" spans="1:13" x14ac:dyDescent="0.4">
      <c r="A338" s="5"/>
      <c r="B338" s="6"/>
      <c r="C338" s="6"/>
      <c r="D338" s="6"/>
      <c r="E338" s="6"/>
      <c r="F338" s="6"/>
      <c r="G338" s="6"/>
      <c r="H338" s="6"/>
      <c r="I338" s="6"/>
      <c r="J338" s="6"/>
      <c r="K338" s="6"/>
      <c r="L338" s="6"/>
      <c r="M338" s="6"/>
    </row>
    <row r="339" spans="1:13" x14ac:dyDescent="0.4">
      <c r="A339" s="4"/>
      <c r="B339" s="7"/>
      <c r="C339" s="7"/>
      <c r="D339" s="7"/>
      <c r="E339" s="7"/>
      <c r="F339" s="7"/>
      <c r="G339" s="7"/>
      <c r="H339" s="7"/>
      <c r="I339" s="7"/>
      <c r="J339" s="7"/>
      <c r="K339" s="7"/>
      <c r="L339" s="7"/>
      <c r="M339" s="7"/>
    </row>
    <row r="340" spans="1:13" x14ac:dyDescent="0.4">
      <c r="A340" s="4"/>
      <c r="B340" s="7"/>
      <c r="C340" s="7"/>
      <c r="D340" s="7"/>
      <c r="E340" s="7"/>
      <c r="F340" s="7"/>
      <c r="G340" s="7"/>
      <c r="H340" s="7"/>
      <c r="I340" s="7"/>
      <c r="J340" s="7"/>
      <c r="K340" s="7"/>
      <c r="L340" s="7"/>
      <c r="M340" s="7"/>
    </row>
    <row r="341" spans="1:13" x14ac:dyDescent="0.4">
      <c r="A341" s="4"/>
      <c r="B341" s="7"/>
      <c r="C341" s="7"/>
      <c r="D341" s="7"/>
      <c r="E341" s="7"/>
      <c r="F341" s="7"/>
      <c r="G341" s="7"/>
      <c r="H341" s="7"/>
      <c r="I341" s="7"/>
      <c r="J341" s="7"/>
      <c r="K341" s="7"/>
      <c r="L341" s="7"/>
      <c r="M341" s="7"/>
    </row>
    <row r="342" spans="1:13" x14ac:dyDescent="0.4">
      <c r="A342" s="4"/>
      <c r="B342" s="7"/>
      <c r="C342" s="7"/>
      <c r="D342" s="7"/>
      <c r="E342" s="7"/>
      <c r="F342" s="7"/>
      <c r="G342" s="7"/>
      <c r="H342" s="7"/>
      <c r="I342" s="7"/>
      <c r="J342" s="7"/>
      <c r="K342" s="7"/>
      <c r="L342" s="7"/>
      <c r="M342" s="7"/>
    </row>
    <row r="343" spans="1:13" x14ac:dyDescent="0.4">
      <c r="A343" s="4"/>
      <c r="B343" s="7"/>
      <c r="C343" s="7"/>
      <c r="D343" s="7"/>
      <c r="E343" s="7"/>
      <c r="F343" s="7"/>
      <c r="G343" s="7"/>
      <c r="H343" s="7"/>
      <c r="I343" s="7"/>
      <c r="J343" s="7"/>
      <c r="K343" s="7"/>
      <c r="L343" s="7"/>
      <c r="M343" s="7"/>
    </row>
    <row r="344" spans="1:13" x14ac:dyDescent="0.4">
      <c r="A344" s="4"/>
      <c r="B344" s="7"/>
      <c r="C344" s="7"/>
      <c r="D344" s="7"/>
      <c r="E344" s="7"/>
      <c r="F344" s="7"/>
      <c r="G344" s="7"/>
      <c r="H344" s="7"/>
      <c r="I344" s="7"/>
      <c r="J344" s="7"/>
      <c r="K344" s="7"/>
      <c r="L344" s="7"/>
      <c r="M344" s="7"/>
    </row>
    <row r="345" spans="1:13" x14ac:dyDescent="0.4">
      <c r="A345" s="4"/>
      <c r="B345" s="7"/>
      <c r="C345" s="7"/>
      <c r="D345" s="7"/>
      <c r="E345" s="7"/>
      <c r="F345" s="7"/>
      <c r="G345" s="7"/>
      <c r="H345" s="7"/>
      <c r="I345" s="7"/>
      <c r="J345" s="7"/>
      <c r="K345" s="7"/>
      <c r="L345" s="7"/>
      <c r="M345" s="7"/>
    </row>
    <row r="346" spans="1:13" x14ac:dyDescent="0.4">
      <c r="A346" s="4"/>
      <c r="B346" s="7"/>
      <c r="C346" s="7"/>
      <c r="D346" s="7"/>
      <c r="E346" s="7"/>
      <c r="F346" s="7"/>
      <c r="G346" s="7"/>
      <c r="H346" s="7"/>
      <c r="I346" s="7"/>
      <c r="J346" s="7"/>
      <c r="K346" s="7"/>
      <c r="L346" s="7"/>
      <c r="M346" s="7"/>
    </row>
    <row r="347" spans="1:13" x14ac:dyDescent="0.4">
      <c r="A347" s="4"/>
      <c r="B347" s="7"/>
      <c r="C347" s="7"/>
      <c r="D347" s="7"/>
      <c r="E347" s="7"/>
      <c r="F347" s="7"/>
      <c r="G347" s="7"/>
      <c r="H347" s="7"/>
      <c r="I347" s="7"/>
      <c r="J347" s="7"/>
      <c r="K347" s="7"/>
      <c r="L347" s="7"/>
      <c r="M347" s="7"/>
    </row>
    <row r="348" spans="1:13" x14ac:dyDescent="0.4">
      <c r="A348" s="4"/>
      <c r="B348" s="7"/>
      <c r="C348" s="7"/>
      <c r="D348" s="7"/>
      <c r="E348" s="7"/>
      <c r="F348" s="7"/>
      <c r="G348" s="7"/>
      <c r="H348" s="7"/>
      <c r="I348" s="7"/>
      <c r="J348" s="7"/>
      <c r="K348" s="7"/>
      <c r="L348" s="7"/>
      <c r="M348" s="7"/>
    </row>
    <row r="349" spans="1:13" x14ac:dyDescent="0.4">
      <c r="A349" s="4"/>
      <c r="B349" s="7"/>
      <c r="C349" s="7"/>
      <c r="D349" s="7"/>
      <c r="E349" s="7"/>
      <c r="F349" s="7"/>
      <c r="G349" s="7"/>
      <c r="H349" s="7"/>
      <c r="I349" s="7"/>
      <c r="J349" s="7"/>
      <c r="K349" s="7"/>
      <c r="L349" s="7"/>
      <c r="M349" s="7"/>
    </row>
    <row r="350" spans="1:13" x14ac:dyDescent="0.4">
      <c r="A350" s="4"/>
      <c r="B350" s="7"/>
      <c r="C350" s="7"/>
      <c r="D350" s="7"/>
      <c r="E350" s="7"/>
      <c r="F350" s="7"/>
      <c r="G350" s="7"/>
      <c r="H350" s="7"/>
      <c r="I350" s="7"/>
      <c r="J350" s="7"/>
      <c r="K350" s="7"/>
      <c r="L350" s="7"/>
      <c r="M350" s="7"/>
    </row>
    <row r="351" spans="1:13" x14ac:dyDescent="0.4">
      <c r="A351" s="4"/>
      <c r="B351" s="7"/>
      <c r="C351" s="7"/>
      <c r="D351" s="7"/>
      <c r="E351" s="7"/>
      <c r="F351" s="7"/>
      <c r="G351" s="7"/>
      <c r="H351" s="7"/>
      <c r="I351" s="7"/>
      <c r="J351" s="7"/>
      <c r="K351" s="7"/>
      <c r="L351" s="7"/>
      <c r="M351" s="7"/>
    </row>
    <row r="352" spans="1:13" x14ac:dyDescent="0.4">
      <c r="A352" s="4"/>
      <c r="B352" s="7"/>
      <c r="C352" s="7"/>
      <c r="D352" s="7"/>
      <c r="E352" s="7"/>
      <c r="F352" s="7"/>
      <c r="G352" s="7"/>
      <c r="H352" s="7"/>
      <c r="I352" s="7"/>
      <c r="J352" s="7"/>
      <c r="K352" s="7"/>
      <c r="L352" s="7"/>
      <c r="M352" s="7"/>
    </row>
    <row r="353" spans="1:13" x14ac:dyDescent="0.4">
      <c r="A353" s="4"/>
      <c r="B353" s="7"/>
      <c r="C353" s="7"/>
      <c r="D353" s="7"/>
      <c r="E353" s="7"/>
      <c r="F353" s="7"/>
      <c r="G353" s="7"/>
      <c r="H353" s="7"/>
      <c r="I353" s="7"/>
      <c r="J353" s="7"/>
      <c r="K353" s="7"/>
      <c r="L353" s="7"/>
      <c r="M353" s="7"/>
    </row>
    <row r="354" spans="1:13" x14ac:dyDescent="0.4">
      <c r="A354" s="4"/>
      <c r="B354" s="7"/>
      <c r="C354" s="7"/>
      <c r="D354" s="7"/>
      <c r="E354" s="7"/>
      <c r="F354" s="7"/>
      <c r="G354" s="7"/>
      <c r="H354" s="7"/>
      <c r="I354" s="7"/>
      <c r="J354" s="7"/>
      <c r="K354" s="7"/>
      <c r="L354" s="7"/>
      <c r="M354" s="7"/>
    </row>
    <row r="356" spans="1:13" x14ac:dyDescent="0.4">
      <c r="A356" s="3"/>
    </row>
    <row r="357" spans="1:13" x14ac:dyDescent="0.4">
      <c r="A357" s="3"/>
    </row>
    <row r="358" spans="1:13" x14ac:dyDescent="0.4">
      <c r="A358" s="3"/>
    </row>
    <row r="361" spans="1:13" x14ac:dyDescent="0.4">
      <c r="A361" s="2"/>
    </row>
    <row r="362" spans="1:13" x14ac:dyDescent="0.4">
      <c r="A362" s="3"/>
    </row>
    <row r="364" spans="1:13" x14ac:dyDescent="0.4">
      <c r="A364" s="4"/>
      <c r="B364" s="4"/>
    </row>
    <row r="365" spans="1:13" x14ac:dyDescent="0.4">
      <c r="A365" s="4"/>
      <c r="B365" s="4"/>
    </row>
    <row r="366" spans="1:13" x14ac:dyDescent="0.4">
      <c r="A366" s="4"/>
      <c r="B366" s="4"/>
    </row>
    <row r="368" spans="1:13" x14ac:dyDescent="0.4">
      <c r="A368" s="5"/>
      <c r="B368" s="6"/>
      <c r="C368" s="6"/>
      <c r="D368" s="6"/>
      <c r="E368" s="6"/>
      <c r="F368" s="6"/>
      <c r="G368" s="6"/>
      <c r="H368" s="6"/>
      <c r="I368" s="6"/>
      <c r="J368" s="6"/>
      <c r="K368" s="6"/>
      <c r="L368" s="6"/>
      <c r="M368" s="6"/>
    </row>
    <row r="369" spans="1:13" x14ac:dyDescent="0.4">
      <c r="A369" s="4"/>
      <c r="B369" s="7"/>
      <c r="C369" s="7"/>
      <c r="D369" s="7"/>
      <c r="E369" s="7"/>
      <c r="F369" s="7"/>
      <c r="G369" s="7"/>
      <c r="H369" s="7"/>
      <c r="I369" s="7"/>
      <c r="J369" s="7"/>
      <c r="K369" s="7"/>
      <c r="L369" s="7"/>
      <c r="M369" s="7"/>
    </row>
    <row r="370" spans="1:13" x14ac:dyDescent="0.4">
      <c r="A370" s="4"/>
      <c r="B370" s="7"/>
      <c r="C370" s="7"/>
      <c r="D370" s="7"/>
      <c r="E370" s="7"/>
      <c r="F370" s="7"/>
      <c r="G370" s="7"/>
      <c r="H370" s="7"/>
      <c r="I370" s="7"/>
      <c r="J370" s="7"/>
      <c r="K370" s="7"/>
      <c r="L370" s="7"/>
      <c r="M370" s="7"/>
    </row>
    <row r="371" spans="1:13" x14ac:dyDescent="0.4">
      <c r="A371" s="4"/>
      <c r="B371" s="7"/>
      <c r="C371" s="7"/>
      <c r="D371" s="7"/>
      <c r="E371" s="7"/>
      <c r="F371" s="7"/>
      <c r="G371" s="7"/>
      <c r="H371" s="7"/>
      <c r="I371" s="7"/>
      <c r="J371" s="7"/>
      <c r="K371" s="7"/>
      <c r="L371" s="7"/>
      <c r="M371" s="7"/>
    </row>
    <row r="372" spans="1:13" x14ac:dyDescent="0.4">
      <c r="A372" s="4"/>
      <c r="B372" s="7"/>
      <c r="C372" s="7"/>
      <c r="D372" s="7"/>
      <c r="E372" s="7"/>
      <c r="F372" s="7"/>
      <c r="G372" s="7"/>
      <c r="H372" s="7"/>
      <c r="I372" s="7"/>
      <c r="J372" s="7"/>
      <c r="K372" s="7"/>
      <c r="L372" s="7"/>
      <c r="M372" s="7"/>
    </row>
    <row r="373" spans="1:13" x14ac:dyDescent="0.4">
      <c r="A373" s="4"/>
      <c r="B373" s="7"/>
      <c r="C373" s="7"/>
      <c r="D373" s="7"/>
      <c r="E373" s="7"/>
      <c r="F373" s="7"/>
      <c r="G373" s="7"/>
      <c r="H373" s="7"/>
      <c r="I373" s="7"/>
      <c r="J373" s="7"/>
      <c r="K373" s="7"/>
      <c r="L373" s="7"/>
      <c r="M373" s="7"/>
    </row>
    <row r="374" spans="1:13" x14ac:dyDescent="0.4">
      <c r="A374" s="4"/>
      <c r="B374" s="7"/>
      <c r="C374" s="7"/>
      <c r="D374" s="7"/>
      <c r="E374" s="7"/>
      <c r="F374" s="7"/>
      <c r="G374" s="7"/>
      <c r="H374" s="7"/>
      <c r="I374" s="7"/>
      <c r="J374" s="7"/>
      <c r="K374" s="7"/>
      <c r="L374" s="7"/>
      <c r="M374" s="7"/>
    </row>
    <row r="375" spans="1:13" x14ac:dyDescent="0.4">
      <c r="A375" s="4"/>
      <c r="B375" s="7"/>
      <c r="C375" s="7"/>
      <c r="D375" s="7"/>
      <c r="E375" s="7"/>
      <c r="F375" s="7"/>
      <c r="G375" s="7"/>
      <c r="H375" s="7"/>
      <c r="I375" s="7"/>
      <c r="J375" s="7"/>
      <c r="K375" s="7"/>
      <c r="L375" s="7"/>
      <c r="M375" s="7"/>
    </row>
    <row r="376" spans="1:13" x14ac:dyDescent="0.4">
      <c r="A376" s="4"/>
      <c r="B376" s="7"/>
      <c r="C376" s="7"/>
      <c r="D376" s="7"/>
      <c r="E376" s="7"/>
      <c r="F376" s="7"/>
      <c r="G376" s="7"/>
      <c r="H376" s="7"/>
      <c r="I376" s="7"/>
      <c r="J376" s="7"/>
      <c r="K376" s="7"/>
      <c r="L376" s="7"/>
      <c r="M376" s="7"/>
    </row>
    <row r="377" spans="1:13" x14ac:dyDescent="0.4">
      <c r="A377" s="4"/>
      <c r="B377" s="7"/>
      <c r="C377" s="7"/>
      <c r="D377" s="7"/>
      <c r="E377" s="7"/>
      <c r="F377" s="7"/>
      <c r="G377" s="7"/>
      <c r="H377" s="7"/>
      <c r="I377" s="7"/>
      <c r="J377" s="7"/>
      <c r="K377" s="7"/>
      <c r="L377" s="7"/>
      <c r="M377" s="7"/>
    </row>
    <row r="378" spans="1:13" x14ac:dyDescent="0.4">
      <c r="A378" s="4"/>
      <c r="B378" s="7"/>
      <c r="C378" s="7"/>
      <c r="D378" s="7"/>
      <c r="E378" s="7"/>
      <c r="F378" s="7"/>
      <c r="G378" s="7"/>
      <c r="H378" s="7"/>
      <c r="I378" s="7"/>
      <c r="J378" s="7"/>
      <c r="K378" s="7"/>
      <c r="L378" s="7"/>
      <c r="M378" s="7"/>
    </row>
    <row r="379" spans="1:13" x14ac:dyDescent="0.4">
      <c r="A379" s="4"/>
      <c r="B379" s="7"/>
      <c r="C379" s="7"/>
      <c r="D379" s="7"/>
      <c r="E379" s="7"/>
      <c r="F379" s="7"/>
      <c r="G379" s="7"/>
      <c r="H379" s="7"/>
      <c r="I379" s="7"/>
      <c r="J379" s="7"/>
      <c r="K379" s="7"/>
      <c r="L379" s="7"/>
      <c r="M379" s="7"/>
    </row>
    <row r="380" spans="1:13" x14ac:dyDescent="0.4">
      <c r="A380" s="4"/>
      <c r="B380" s="7"/>
      <c r="C380" s="7"/>
      <c r="D380" s="7"/>
      <c r="E380" s="7"/>
      <c r="F380" s="7"/>
      <c r="G380" s="7"/>
      <c r="H380" s="7"/>
      <c r="I380" s="7"/>
      <c r="J380" s="7"/>
      <c r="K380" s="7"/>
      <c r="L380" s="7"/>
      <c r="M380" s="7"/>
    </row>
    <row r="381" spans="1:13" x14ac:dyDescent="0.4">
      <c r="A381" s="4"/>
      <c r="B381" s="7"/>
      <c r="C381" s="7"/>
      <c r="D381" s="7"/>
      <c r="E381" s="7"/>
      <c r="F381" s="7"/>
      <c r="G381" s="7"/>
      <c r="H381" s="7"/>
      <c r="I381" s="7"/>
      <c r="J381" s="7"/>
      <c r="K381" s="7"/>
      <c r="L381" s="7"/>
      <c r="M381" s="7"/>
    </row>
    <row r="382" spans="1:13" x14ac:dyDescent="0.4">
      <c r="A382" s="4"/>
      <c r="B382" s="7"/>
      <c r="C382" s="7"/>
      <c r="D382" s="7"/>
      <c r="E382" s="7"/>
      <c r="F382" s="7"/>
      <c r="G382" s="7"/>
      <c r="H382" s="7"/>
      <c r="I382" s="7"/>
      <c r="J382" s="7"/>
      <c r="K382" s="7"/>
      <c r="L382" s="7"/>
      <c r="M382" s="7"/>
    </row>
    <row r="383" spans="1:13" x14ac:dyDescent="0.4">
      <c r="A383" s="4"/>
      <c r="B383" s="7"/>
      <c r="C383" s="7"/>
      <c r="D383" s="7"/>
      <c r="E383" s="7"/>
      <c r="F383" s="7"/>
      <c r="G383" s="7"/>
      <c r="H383" s="7"/>
      <c r="I383" s="7"/>
      <c r="J383" s="7"/>
      <c r="K383" s="7"/>
      <c r="L383" s="7"/>
      <c r="M383" s="7"/>
    </row>
    <row r="384" spans="1:13" x14ac:dyDescent="0.4">
      <c r="A384" s="4"/>
      <c r="B384" s="7"/>
      <c r="C384" s="7"/>
      <c r="D384" s="7"/>
      <c r="E384" s="7"/>
      <c r="F384" s="7"/>
      <c r="G384" s="7"/>
      <c r="H384" s="7"/>
      <c r="I384" s="7"/>
      <c r="J384" s="7"/>
      <c r="K384" s="7"/>
      <c r="L384" s="7"/>
      <c r="M384" s="7"/>
    </row>
    <row r="386" spans="1:13" x14ac:dyDescent="0.4">
      <c r="A386" s="3"/>
    </row>
    <row r="387" spans="1:13" x14ac:dyDescent="0.4">
      <c r="A387" s="3"/>
    </row>
    <row r="388" spans="1:13" x14ac:dyDescent="0.4">
      <c r="A388" s="3"/>
    </row>
    <row r="391" spans="1:13" x14ac:dyDescent="0.4">
      <c r="A391" s="2"/>
    </row>
    <row r="392" spans="1:13" x14ac:dyDescent="0.4">
      <c r="A392" s="3"/>
    </row>
    <row r="394" spans="1:13" x14ac:dyDescent="0.4">
      <c r="A394" s="4"/>
      <c r="B394" s="4"/>
    </row>
    <row r="395" spans="1:13" x14ac:dyDescent="0.4">
      <c r="A395" s="4"/>
      <c r="B395" s="4"/>
    </row>
    <row r="396" spans="1:13" x14ac:dyDescent="0.4">
      <c r="A396" s="4"/>
      <c r="B396" s="4"/>
    </row>
    <row r="398" spans="1:13" x14ac:dyDescent="0.4">
      <c r="A398" s="5"/>
      <c r="B398" s="6"/>
      <c r="C398" s="6"/>
      <c r="D398" s="6"/>
      <c r="E398" s="6"/>
      <c r="F398" s="6"/>
      <c r="G398" s="6"/>
      <c r="H398" s="6"/>
      <c r="I398" s="6"/>
      <c r="J398" s="6"/>
      <c r="K398" s="6"/>
      <c r="L398" s="6"/>
      <c r="M398" s="6"/>
    </row>
    <row r="399" spans="1:13" x14ac:dyDescent="0.4">
      <c r="A399" s="4"/>
      <c r="B399" s="7"/>
      <c r="C399" s="7"/>
      <c r="D399" s="7"/>
      <c r="E399" s="7"/>
      <c r="F399" s="7"/>
      <c r="G399" s="7"/>
      <c r="H399" s="7"/>
      <c r="I399" s="7"/>
      <c r="J399" s="7"/>
      <c r="K399" s="7"/>
      <c r="L399" s="7"/>
      <c r="M399" s="7"/>
    </row>
    <row r="400" spans="1:13" x14ac:dyDescent="0.4">
      <c r="A400" s="4"/>
      <c r="B400" s="7"/>
      <c r="C400" s="7"/>
      <c r="D400" s="7"/>
      <c r="E400" s="7"/>
      <c r="F400" s="7"/>
      <c r="G400" s="7"/>
      <c r="H400" s="7"/>
      <c r="I400" s="7"/>
      <c r="J400" s="7"/>
      <c r="K400" s="7"/>
      <c r="L400" s="7"/>
      <c r="M400" s="7"/>
    </row>
    <row r="401" spans="1:13" x14ac:dyDescent="0.4">
      <c r="A401" s="4"/>
      <c r="B401" s="7"/>
      <c r="C401" s="7"/>
      <c r="D401" s="7"/>
      <c r="E401" s="7"/>
      <c r="F401" s="7"/>
      <c r="G401" s="7"/>
      <c r="H401" s="7"/>
      <c r="I401" s="7"/>
      <c r="J401" s="7"/>
      <c r="K401" s="7"/>
      <c r="L401" s="7"/>
      <c r="M401" s="7"/>
    </row>
    <row r="402" spans="1:13" x14ac:dyDescent="0.4">
      <c r="A402" s="4"/>
      <c r="B402" s="7"/>
      <c r="C402" s="7"/>
      <c r="D402" s="7"/>
      <c r="E402" s="7"/>
      <c r="F402" s="7"/>
      <c r="G402" s="7"/>
      <c r="H402" s="7"/>
      <c r="I402" s="7"/>
      <c r="J402" s="7"/>
      <c r="K402" s="7"/>
      <c r="L402" s="7"/>
      <c r="M402" s="7"/>
    </row>
    <row r="403" spans="1:13" x14ac:dyDescent="0.4">
      <c r="A403" s="4"/>
      <c r="B403" s="7"/>
      <c r="C403" s="7"/>
      <c r="D403" s="7"/>
      <c r="E403" s="7"/>
      <c r="F403" s="7"/>
      <c r="G403" s="7"/>
      <c r="H403" s="7"/>
      <c r="I403" s="7"/>
      <c r="J403" s="7"/>
      <c r="K403" s="7"/>
      <c r="L403" s="7"/>
      <c r="M403" s="7"/>
    </row>
    <row r="404" spans="1:13" x14ac:dyDescent="0.4">
      <c r="A404" s="4"/>
      <c r="B404" s="7"/>
      <c r="C404" s="7"/>
      <c r="D404" s="7"/>
      <c r="E404" s="7"/>
      <c r="F404" s="7"/>
      <c r="G404" s="7"/>
      <c r="H404" s="7"/>
      <c r="I404" s="7"/>
      <c r="J404" s="7"/>
      <c r="K404" s="7"/>
      <c r="L404" s="7"/>
      <c r="M404" s="7"/>
    </row>
    <row r="405" spans="1:13" x14ac:dyDescent="0.4">
      <c r="A405" s="4"/>
      <c r="B405" s="7"/>
      <c r="C405" s="7"/>
      <c r="D405" s="7"/>
      <c r="E405" s="7"/>
      <c r="F405" s="7"/>
      <c r="G405" s="7"/>
      <c r="H405" s="7"/>
      <c r="I405" s="7"/>
      <c r="J405" s="7"/>
      <c r="K405" s="7"/>
      <c r="L405" s="7"/>
      <c r="M405" s="7"/>
    </row>
    <row r="406" spans="1:13" x14ac:dyDescent="0.4">
      <c r="A406" s="4"/>
      <c r="B406" s="7"/>
      <c r="C406" s="7"/>
      <c r="D406" s="7"/>
      <c r="E406" s="7"/>
      <c r="F406" s="7"/>
      <c r="G406" s="7"/>
      <c r="H406" s="7"/>
      <c r="I406" s="7"/>
      <c r="J406" s="7"/>
      <c r="K406" s="7"/>
      <c r="L406" s="7"/>
      <c r="M406" s="7"/>
    </row>
    <row r="407" spans="1:13" x14ac:dyDescent="0.4">
      <c r="A407" s="4"/>
      <c r="B407" s="7"/>
      <c r="C407" s="7"/>
      <c r="D407" s="7"/>
      <c r="E407" s="7"/>
      <c r="F407" s="7"/>
      <c r="G407" s="7"/>
      <c r="H407" s="7"/>
      <c r="I407" s="7"/>
      <c r="J407" s="7"/>
      <c r="K407" s="7"/>
      <c r="L407" s="7"/>
      <c r="M407" s="7"/>
    </row>
    <row r="408" spans="1:13" x14ac:dyDescent="0.4">
      <c r="A408" s="4"/>
      <c r="B408" s="7"/>
      <c r="C408" s="7"/>
      <c r="D408" s="7"/>
      <c r="E408" s="7"/>
      <c r="F408" s="7"/>
      <c r="G408" s="7"/>
      <c r="H408" s="7"/>
      <c r="I408" s="7"/>
      <c r="J408" s="7"/>
      <c r="K408" s="7"/>
      <c r="L408" s="7"/>
      <c r="M408" s="7"/>
    </row>
    <row r="409" spans="1:13" x14ac:dyDescent="0.4">
      <c r="A409" s="4"/>
      <c r="B409" s="7"/>
      <c r="C409" s="7"/>
      <c r="D409" s="7"/>
      <c r="E409" s="7"/>
      <c r="F409" s="7"/>
      <c r="G409" s="7"/>
      <c r="H409" s="7"/>
      <c r="I409" s="7"/>
      <c r="J409" s="7"/>
      <c r="K409" s="7"/>
      <c r="L409" s="7"/>
      <c r="M409" s="7"/>
    </row>
    <row r="410" spans="1:13" x14ac:dyDescent="0.4">
      <c r="A410" s="4"/>
      <c r="B410" s="7"/>
      <c r="C410" s="7"/>
      <c r="D410" s="7"/>
      <c r="E410" s="7"/>
      <c r="F410" s="7"/>
      <c r="G410" s="7"/>
      <c r="H410" s="7"/>
      <c r="I410" s="7"/>
      <c r="J410" s="7"/>
      <c r="K410" s="7"/>
      <c r="L410" s="7"/>
      <c r="M410" s="7"/>
    </row>
    <row r="411" spans="1:13" x14ac:dyDescent="0.4">
      <c r="A411" s="4"/>
      <c r="B411" s="7"/>
      <c r="C411" s="7"/>
      <c r="D411" s="7"/>
      <c r="E411" s="7"/>
      <c r="F411" s="7"/>
      <c r="G411" s="7"/>
      <c r="H411" s="7"/>
      <c r="I411" s="7"/>
      <c r="J411" s="7"/>
      <c r="K411" s="7"/>
      <c r="L411" s="7"/>
      <c r="M411" s="7"/>
    </row>
    <row r="412" spans="1:13" x14ac:dyDescent="0.4">
      <c r="A412" s="4"/>
      <c r="B412" s="7"/>
      <c r="C412" s="7"/>
      <c r="D412" s="7"/>
      <c r="E412" s="7"/>
      <c r="F412" s="7"/>
      <c r="G412" s="7"/>
      <c r="H412" s="7"/>
      <c r="I412" s="7"/>
      <c r="J412" s="7"/>
      <c r="K412" s="7"/>
      <c r="L412" s="7"/>
      <c r="M412" s="7"/>
    </row>
    <row r="413" spans="1:13" x14ac:dyDescent="0.4">
      <c r="A413" s="4"/>
      <c r="B413" s="7"/>
      <c r="C413" s="7"/>
      <c r="D413" s="7"/>
      <c r="E413" s="7"/>
      <c r="F413" s="7"/>
      <c r="G413" s="7"/>
      <c r="H413" s="7"/>
      <c r="I413" s="7"/>
      <c r="J413" s="7"/>
      <c r="K413" s="7"/>
      <c r="L413" s="7"/>
      <c r="M413" s="7"/>
    </row>
    <row r="414" spans="1:13" x14ac:dyDescent="0.4">
      <c r="A414" s="4"/>
      <c r="B414" s="7"/>
      <c r="C414" s="7"/>
      <c r="D414" s="7"/>
      <c r="E414" s="7"/>
      <c r="F414" s="7"/>
      <c r="G414" s="7"/>
      <c r="H414" s="7"/>
      <c r="I414" s="7"/>
      <c r="J414" s="7"/>
      <c r="K414" s="7"/>
      <c r="L414" s="7"/>
      <c r="M414" s="7"/>
    </row>
    <row r="416" spans="1:13" x14ac:dyDescent="0.4">
      <c r="A416" s="3"/>
    </row>
    <row r="417" spans="1:1" x14ac:dyDescent="0.4">
      <c r="A417" s="3"/>
    </row>
    <row r="418" spans="1:1" x14ac:dyDescent="0.4">
      <c r="A418"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F1B92-E1FB-E74A-B3FF-5116134587D5}">
  <dimension ref="A1:E34"/>
  <sheetViews>
    <sheetView zoomScaleNormal="100" workbookViewId="0">
      <selection activeCell="E1" sqref="E1"/>
    </sheetView>
  </sheetViews>
  <sheetFormatPr defaultColWidth="10.6640625" defaultRowHeight="16" x14ac:dyDescent="0.4"/>
  <sheetData>
    <row r="1" spans="1:5" x14ac:dyDescent="0.4">
      <c r="A1" t="s">
        <v>0</v>
      </c>
      <c r="B1" t="s">
        <v>1</v>
      </c>
      <c r="C1" t="s">
        <v>2</v>
      </c>
      <c r="D1" t="s">
        <v>55</v>
      </c>
      <c r="E1" t="s">
        <v>57</v>
      </c>
    </row>
    <row r="2" spans="1:5" x14ac:dyDescent="0.4">
      <c r="A2">
        <v>2015</v>
      </c>
      <c r="B2" t="s">
        <v>3</v>
      </c>
      <c r="C2" t="s">
        <v>4</v>
      </c>
      <c r="D2">
        <v>97230</v>
      </c>
      <c r="E2">
        <f>100*D2/97230</f>
        <v>100</v>
      </c>
    </row>
    <row r="3" spans="1:5" x14ac:dyDescent="0.4">
      <c r="A3">
        <v>2016</v>
      </c>
      <c r="B3" t="s">
        <v>3</v>
      </c>
      <c r="C3" t="s">
        <v>4</v>
      </c>
      <c r="D3">
        <v>100595</v>
      </c>
      <c r="E3">
        <f t="shared" ref="E3:E12" si="0">100*D3/97230</f>
        <v>103.46086598786383</v>
      </c>
    </row>
    <row r="4" spans="1:5" x14ac:dyDescent="0.4">
      <c r="A4">
        <v>2017</v>
      </c>
      <c r="B4" t="s">
        <v>3</v>
      </c>
      <c r="C4" t="s">
        <v>4</v>
      </c>
      <c r="D4">
        <v>106370</v>
      </c>
      <c r="E4">
        <f t="shared" si="0"/>
        <v>109.40039082587678</v>
      </c>
    </row>
    <row r="5" spans="1:5" x14ac:dyDescent="0.4">
      <c r="A5">
        <v>2018</v>
      </c>
      <c r="B5" t="s">
        <v>3</v>
      </c>
      <c r="C5" t="s">
        <v>4</v>
      </c>
      <c r="D5">
        <v>103445</v>
      </c>
      <c r="E5">
        <f t="shared" si="0"/>
        <v>106.39206006376632</v>
      </c>
    </row>
    <row r="6" spans="1:5" x14ac:dyDescent="0.4">
      <c r="A6">
        <v>2019</v>
      </c>
      <c r="B6" t="s">
        <v>3</v>
      </c>
      <c r="C6" t="s">
        <v>4</v>
      </c>
      <c r="D6">
        <v>104530</v>
      </c>
      <c r="E6">
        <f t="shared" si="0"/>
        <v>107.50797079090816</v>
      </c>
    </row>
    <row r="7" spans="1:5" x14ac:dyDescent="0.4">
      <c r="A7">
        <v>2020</v>
      </c>
      <c r="B7" t="s">
        <v>3</v>
      </c>
      <c r="C7" t="s">
        <v>4</v>
      </c>
      <c r="D7">
        <v>105195</v>
      </c>
      <c r="E7">
        <f t="shared" si="0"/>
        <v>108.19191607528541</v>
      </c>
    </row>
    <row r="8" spans="1:5" x14ac:dyDescent="0.4">
      <c r="A8">
        <v>2021</v>
      </c>
      <c r="B8" t="s">
        <v>3</v>
      </c>
      <c r="C8" t="s">
        <v>4</v>
      </c>
      <c r="D8">
        <v>105050</v>
      </c>
      <c r="E8">
        <f t="shared" si="0"/>
        <v>108.04278514861669</v>
      </c>
    </row>
    <row r="9" spans="1:5" x14ac:dyDescent="0.4">
      <c r="A9">
        <v>2022</v>
      </c>
      <c r="B9" t="s">
        <v>3</v>
      </c>
      <c r="C9" t="s">
        <v>4</v>
      </c>
      <c r="D9">
        <v>104180</v>
      </c>
      <c r="E9">
        <f t="shared" si="0"/>
        <v>107.14799958860434</v>
      </c>
    </row>
    <row r="10" spans="1:5" x14ac:dyDescent="0.4">
      <c r="A10">
        <v>2023</v>
      </c>
      <c r="B10" t="s">
        <v>3</v>
      </c>
      <c r="C10" t="s">
        <v>4</v>
      </c>
      <c r="D10">
        <v>102830</v>
      </c>
      <c r="E10">
        <f t="shared" si="0"/>
        <v>105.75953923686104</v>
      </c>
    </row>
    <row r="11" spans="1:5" x14ac:dyDescent="0.4">
      <c r="A11">
        <v>2024</v>
      </c>
      <c r="B11" t="s">
        <v>3</v>
      </c>
      <c r="C11" t="s">
        <v>4</v>
      </c>
      <c r="D11">
        <v>102645</v>
      </c>
      <c r="E11">
        <f t="shared" si="0"/>
        <v>105.56926874421475</v>
      </c>
    </row>
    <row r="12" spans="1:5" x14ac:dyDescent="0.4">
      <c r="A12">
        <v>2025</v>
      </c>
      <c r="B12" t="s">
        <v>3</v>
      </c>
      <c r="C12" t="s">
        <v>4</v>
      </c>
      <c r="D12">
        <v>101945</v>
      </c>
      <c r="E12">
        <f t="shared" si="0"/>
        <v>104.84932633960712</v>
      </c>
    </row>
    <row r="13" spans="1:5" x14ac:dyDescent="0.4">
      <c r="A13">
        <v>2015</v>
      </c>
      <c r="B13" t="s">
        <v>5</v>
      </c>
      <c r="C13" t="s">
        <v>6</v>
      </c>
      <c r="D13">
        <v>2105210</v>
      </c>
      <c r="E13">
        <f>100*D13/2105210</f>
        <v>100</v>
      </c>
    </row>
    <row r="14" spans="1:5" x14ac:dyDescent="0.4">
      <c r="A14">
        <v>2016</v>
      </c>
      <c r="B14" t="s">
        <v>5</v>
      </c>
      <c r="C14" t="s">
        <v>6</v>
      </c>
      <c r="D14">
        <v>2202265</v>
      </c>
      <c r="E14">
        <f t="shared" ref="E14:E23" si="1">100*D14/2105210</f>
        <v>104.61022890827994</v>
      </c>
    </row>
    <row r="15" spans="1:5" x14ac:dyDescent="0.4">
      <c r="A15">
        <v>2017</v>
      </c>
      <c r="B15" t="s">
        <v>5</v>
      </c>
      <c r="C15" t="s">
        <v>6</v>
      </c>
      <c r="D15">
        <v>2309250</v>
      </c>
      <c r="E15">
        <f t="shared" si="1"/>
        <v>109.69214472665435</v>
      </c>
    </row>
    <row r="16" spans="1:5" x14ac:dyDescent="0.4">
      <c r="A16">
        <v>2018</v>
      </c>
      <c r="B16" t="s">
        <v>5</v>
      </c>
      <c r="C16" t="s">
        <v>6</v>
      </c>
      <c r="D16">
        <v>2306370</v>
      </c>
      <c r="E16">
        <f t="shared" si="1"/>
        <v>109.55534127236713</v>
      </c>
    </row>
    <row r="17" spans="1:5" x14ac:dyDescent="0.4">
      <c r="A17">
        <v>2019</v>
      </c>
      <c r="B17" t="s">
        <v>5</v>
      </c>
      <c r="C17" t="s">
        <v>6</v>
      </c>
      <c r="D17">
        <v>2349140</v>
      </c>
      <c r="E17">
        <f t="shared" si="1"/>
        <v>111.58696757093117</v>
      </c>
    </row>
    <row r="18" spans="1:5" x14ac:dyDescent="0.4">
      <c r="A18">
        <v>2020</v>
      </c>
      <c r="B18" t="s">
        <v>5</v>
      </c>
      <c r="C18" t="s">
        <v>6</v>
      </c>
      <c r="D18">
        <v>2379400</v>
      </c>
      <c r="E18">
        <f t="shared" si="1"/>
        <v>113.02435386493509</v>
      </c>
    </row>
    <row r="19" spans="1:5" x14ac:dyDescent="0.4">
      <c r="A19">
        <v>2021</v>
      </c>
      <c r="B19" t="s">
        <v>5</v>
      </c>
      <c r="C19" t="s">
        <v>6</v>
      </c>
      <c r="D19">
        <v>2394570</v>
      </c>
      <c r="E19">
        <f t="shared" si="1"/>
        <v>113.74494705991326</v>
      </c>
    </row>
    <row r="20" spans="1:5" x14ac:dyDescent="0.4">
      <c r="A20">
        <v>2022</v>
      </c>
      <c r="B20" t="s">
        <v>5</v>
      </c>
      <c r="C20" t="s">
        <v>6</v>
      </c>
      <c r="D20">
        <v>2396720</v>
      </c>
      <c r="E20">
        <f t="shared" si="1"/>
        <v>113.84707463863462</v>
      </c>
    </row>
    <row r="21" spans="1:5" x14ac:dyDescent="0.4">
      <c r="A21">
        <v>2023</v>
      </c>
      <c r="B21" t="s">
        <v>5</v>
      </c>
      <c r="C21" t="s">
        <v>6</v>
      </c>
      <c r="D21">
        <v>2358780</v>
      </c>
      <c r="E21">
        <f t="shared" si="1"/>
        <v>112.04487913319811</v>
      </c>
    </row>
    <row r="22" spans="1:5" x14ac:dyDescent="0.4">
      <c r="A22">
        <v>2024</v>
      </c>
      <c r="B22" t="s">
        <v>5</v>
      </c>
      <c r="C22" t="s">
        <v>6</v>
      </c>
      <c r="D22">
        <v>2356795</v>
      </c>
      <c r="E22">
        <f t="shared" si="1"/>
        <v>111.95058925237862</v>
      </c>
    </row>
    <row r="23" spans="1:5" x14ac:dyDescent="0.4">
      <c r="A23">
        <v>2025</v>
      </c>
      <c r="B23" t="s">
        <v>5</v>
      </c>
      <c r="C23" t="s">
        <v>6</v>
      </c>
      <c r="D23">
        <v>2365140</v>
      </c>
      <c r="E23">
        <f t="shared" si="1"/>
        <v>112.34698676141572</v>
      </c>
    </row>
    <row r="24" spans="1:5" x14ac:dyDescent="0.4">
      <c r="A24">
        <v>2015</v>
      </c>
      <c r="B24" t="s">
        <v>7</v>
      </c>
      <c r="C24" t="s">
        <v>6</v>
      </c>
      <c r="D24">
        <v>1661315</v>
      </c>
      <c r="E24">
        <f>100*D24/1661315</f>
        <v>100</v>
      </c>
    </row>
    <row r="25" spans="1:5" x14ac:dyDescent="0.4">
      <c r="A25">
        <v>2016</v>
      </c>
      <c r="B25" t="s">
        <v>7</v>
      </c>
      <c r="C25" t="s">
        <v>6</v>
      </c>
      <c r="D25">
        <v>1726355</v>
      </c>
      <c r="E25">
        <f t="shared" ref="E25:E34" si="2">100*D25/1661315</f>
        <v>103.91497097179042</v>
      </c>
    </row>
    <row r="26" spans="1:5" x14ac:dyDescent="0.4">
      <c r="A26">
        <v>2017</v>
      </c>
      <c r="B26" t="s">
        <v>7</v>
      </c>
      <c r="C26" t="s">
        <v>6</v>
      </c>
      <c r="D26">
        <v>1804590</v>
      </c>
      <c r="E26">
        <f t="shared" si="2"/>
        <v>108.62419228141563</v>
      </c>
    </row>
    <row r="27" spans="1:5" x14ac:dyDescent="0.4">
      <c r="A27">
        <v>2018</v>
      </c>
      <c r="B27" t="s">
        <v>7</v>
      </c>
      <c r="C27" t="s">
        <v>6</v>
      </c>
      <c r="D27">
        <v>1801265</v>
      </c>
      <c r="E27">
        <f t="shared" si="2"/>
        <v>108.42404962334055</v>
      </c>
    </row>
    <row r="28" spans="1:5" x14ac:dyDescent="0.4">
      <c r="A28">
        <v>2019</v>
      </c>
      <c r="B28" t="s">
        <v>7</v>
      </c>
      <c r="C28" t="s">
        <v>6</v>
      </c>
      <c r="D28">
        <v>1827940</v>
      </c>
      <c r="E28">
        <f t="shared" si="2"/>
        <v>110.02970538398799</v>
      </c>
    </row>
    <row r="29" spans="1:5" x14ac:dyDescent="0.4">
      <c r="A29">
        <v>2020</v>
      </c>
      <c r="B29" t="s">
        <v>7</v>
      </c>
      <c r="C29" t="s">
        <v>6</v>
      </c>
      <c r="D29">
        <v>1849140</v>
      </c>
      <c r="E29">
        <f t="shared" si="2"/>
        <v>111.30580293321856</v>
      </c>
    </row>
    <row r="30" spans="1:5" x14ac:dyDescent="0.4">
      <c r="A30">
        <v>2021</v>
      </c>
      <c r="B30" t="s">
        <v>7</v>
      </c>
      <c r="C30" t="s">
        <v>6</v>
      </c>
      <c r="D30">
        <v>1861005</v>
      </c>
      <c r="E30">
        <f t="shared" si="2"/>
        <v>112.01999620782333</v>
      </c>
    </row>
    <row r="31" spans="1:5" x14ac:dyDescent="0.4">
      <c r="A31">
        <v>2022</v>
      </c>
      <c r="B31" t="s">
        <v>7</v>
      </c>
      <c r="C31" t="s">
        <v>6</v>
      </c>
      <c r="D31">
        <v>1861655</v>
      </c>
      <c r="E31">
        <f t="shared" si="2"/>
        <v>112.05912184022897</v>
      </c>
    </row>
    <row r="32" spans="1:5" x14ac:dyDescent="0.4">
      <c r="A32">
        <v>2023</v>
      </c>
      <c r="B32" t="s">
        <v>7</v>
      </c>
      <c r="C32" t="s">
        <v>6</v>
      </c>
      <c r="D32">
        <v>1833920</v>
      </c>
      <c r="E32">
        <f t="shared" si="2"/>
        <v>110.38966120212001</v>
      </c>
    </row>
    <row r="33" spans="1:5" x14ac:dyDescent="0.4">
      <c r="A33">
        <v>2024</v>
      </c>
      <c r="B33" t="s">
        <v>7</v>
      </c>
      <c r="C33" t="s">
        <v>6</v>
      </c>
      <c r="D33">
        <v>1827005</v>
      </c>
      <c r="E33">
        <f t="shared" si="2"/>
        <v>109.97342466660447</v>
      </c>
    </row>
    <row r="34" spans="1:5" x14ac:dyDescent="0.4">
      <c r="A34">
        <v>2025</v>
      </c>
      <c r="B34" t="s">
        <v>7</v>
      </c>
      <c r="C34" t="s">
        <v>6</v>
      </c>
      <c r="D34">
        <v>1827825</v>
      </c>
      <c r="E34">
        <f t="shared" si="2"/>
        <v>110.02278315671622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Data</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 Ashby</dc:creator>
  <cp:lastModifiedBy>Dooter Ior</cp:lastModifiedBy>
  <dcterms:created xsi:type="dcterms:W3CDTF">2026-01-16T16:30:10Z</dcterms:created>
  <dcterms:modified xsi:type="dcterms:W3CDTF">2026-03-11T17:55:15Z</dcterms:modified>
</cp:coreProperties>
</file>